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nectProcessing\Documents\"/>
    </mc:Choice>
  </mc:AlternateContent>
  <xr:revisionPtr revIDLastSave="0" documentId="8_{5DFD9C16-E265-4052-929A-C77D0FB5717D}" xr6:coauthVersionLast="34" xr6:coauthVersionMax="34" xr10:uidLastSave="{00000000-0000-0000-0000-000000000000}"/>
  <bookViews>
    <workbookView xWindow="9585" yWindow="-15" windowWidth="9645" windowHeight="8745" tabRatio="735" activeTab="3" xr2:uid="{00000000-000D-0000-FFFF-FFFF00000000}"/>
  </bookViews>
  <sheets>
    <sheet name="Input csv" sheetId="1" r:id="rId1"/>
    <sheet name="Full Data Array" sheetId="6" r:id="rId2"/>
    <sheet name="Front Page" sheetId="5" r:id="rId3"/>
    <sheet name="User Inputs" sheetId="2" r:id="rId4"/>
    <sheet name="Activity Charts" sheetId="4" r:id="rId5"/>
    <sheet name="Original" sheetId="8" r:id="rId6"/>
    <sheet name="ave chart" sheetId="7" state="hidden" r:id="rId7"/>
  </sheets>
  <functionGroups builtInGroupCount="19"/>
  <definedNames>
    <definedName name="act1values" localSheetId="1">'Full Data Array'!$AO$28:$AO$75</definedName>
    <definedName name="bed">'Full Data Array'!$S$1</definedName>
    <definedName name="CalcOffset">'Full Data Array'!$AM$2</definedName>
    <definedName name="d">'Full Data Array'!$AK$1</definedName>
    <definedName name="days">'Full Data Array'!$AM$1</definedName>
    <definedName name="Four_am">'Full Data Array'!$AH$3</definedName>
    <definedName name="four_am_row">'Full Data Array'!$AG$3</definedName>
    <definedName name="frequency">'Front Page'!$C$23</definedName>
    <definedName name="light_to_mod_cut_off">'User Inputs'!$C$10</definedName>
    <definedName name="light1values" localSheetId="1">'Full Data Array'!$AP$28:$AP$75</definedName>
    <definedName name="max_temp">'Full Data Array'!$AT$1</definedName>
    <definedName name="midnight_row">'Full Data Array'!$AK$2</definedName>
    <definedName name="mod_to_vig_cut_off">'User Inputs'!$C$12</definedName>
    <definedName name="no_wear_cut_off">'Full Data Array'!$W$1</definedName>
    <definedName name="noon_row">'Full Data Array'!$AG$2</definedName>
    <definedName name="_xlnm.Print_Area" localSheetId="1">'Full Data Array'!$BB$6:$BL$71</definedName>
    <definedName name="_xlnm.Print_Titles" localSheetId="4">'Activity Charts'!$9:$10</definedName>
    <definedName name="_xlnm.Print_Titles" localSheetId="6">'ave chart'!#REF!</definedName>
    <definedName name="_xlnm.Print_Titles" localSheetId="5">Original!$9:$10</definedName>
    <definedName name="Res">'Full Data Array'!$AK$1</definedName>
    <definedName name="rows">'Full Data Array'!$AG$1</definedName>
    <definedName name="sed_to_light_cut_off">'User Inputs'!$C$8</definedName>
    <definedName name="ss">'User Inputs'!$C$16</definedName>
    <definedName name="xvalues" localSheetId="1">'Full Data Array'!$AK$28:$AK$75</definedName>
  </definedNames>
  <calcPr calcId="162913"/>
</workbook>
</file>

<file path=xl/calcChain.xml><?xml version="1.0" encoding="utf-8"?>
<calcChain xmlns="http://schemas.openxmlformats.org/spreadsheetml/2006/main">
  <c r="C15" i="8" l="1"/>
  <c r="D15" i="8" s="1"/>
  <c r="D6" i="8"/>
  <c r="BJ4" i="8"/>
  <c r="D4" i="8"/>
  <c r="BJ3" i="8"/>
  <c r="D3" i="8"/>
  <c r="E15" i="8" l="1"/>
  <c r="C28" i="5"/>
  <c r="C15" i="5"/>
  <c r="BF1446" i="6"/>
  <c r="BF1447" i="6"/>
  <c r="BF1448" i="6"/>
  <c r="BF1449" i="6"/>
  <c r="BF1450" i="6"/>
  <c r="BF1451" i="6"/>
  <c r="BF1452" i="6"/>
  <c r="BF1453" i="6"/>
  <c r="BF1454" i="6"/>
  <c r="BF1455" i="6"/>
  <c r="BF1456" i="6"/>
  <c r="BF1457" i="6"/>
  <c r="BF1458" i="6"/>
  <c r="BF1459" i="6"/>
  <c r="BF1460" i="6"/>
  <c r="BG1446" i="6" s="1"/>
  <c r="BF1461" i="6"/>
  <c r="BF1462" i="6"/>
  <c r="BF1463" i="6"/>
  <c r="BF1464" i="6"/>
  <c r="BF1465" i="6"/>
  <c r="BF1466" i="6"/>
  <c r="BF1467" i="6"/>
  <c r="BF1468" i="6"/>
  <c r="BF1469" i="6"/>
  <c r="BF1470" i="6"/>
  <c r="BF1471" i="6"/>
  <c r="BF1472" i="6"/>
  <c r="BF1473" i="6"/>
  <c r="BF1474" i="6"/>
  <c r="BF1475" i="6"/>
  <c r="BG1447" i="6" s="1"/>
  <c r="BB1447" i="6" s="1"/>
  <c r="BF1476" i="6"/>
  <c r="BF1477" i="6"/>
  <c r="BF1478" i="6"/>
  <c r="BF1479" i="6"/>
  <c r="BF1480" i="6"/>
  <c r="BF1481" i="6"/>
  <c r="BF1482" i="6"/>
  <c r="BF1483" i="6"/>
  <c r="BF1484" i="6"/>
  <c r="BF1485" i="6"/>
  <c r="BF1486" i="6"/>
  <c r="BF1487" i="6"/>
  <c r="BF1488" i="6"/>
  <c r="BF1489" i="6"/>
  <c r="BF1490" i="6"/>
  <c r="BG1448" i="6" s="1"/>
  <c r="BB1448" i="6" s="1"/>
  <c r="BF1491" i="6"/>
  <c r="BF1492" i="6"/>
  <c r="BF1493" i="6"/>
  <c r="BF1494" i="6"/>
  <c r="BF1495" i="6"/>
  <c r="BF1496" i="6"/>
  <c r="BF1497" i="6"/>
  <c r="BF1498" i="6"/>
  <c r="BF1499" i="6"/>
  <c r="BF1500" i="6"/>
  <c r="BF1501" i="6"/>
  <c r="BF1502" i="6"/>
  <c r="BF1503" i="6"/>
  <c r="BF1504" i="6"/>
  <c r="BF1505" i="6"/>
  <c r="BG1449" i="6" s="1"/>
  <c r="BB1449" i="6" s="1"/>
  <c r="BF1506" i="6"/>
  <c r="BF1507" i="6"/>
  <c r="BF1508" i="6"/>
  <c r="BF1509" i="6"/>
  <c r="BF1510" i="6"/>
  <c r="BF1511" i="6"/>
  <c r="BF1512" i="6"/>
  <c r="BF1513" i="6"/>
  <c r="BF1514" i="6"/>
  <c r="BF1515" i="6"/>
  <c r="BF1516" i="6"/>
  <c r="BF1517" i="6"/>
  <c r="BF1518" i="6"/>
  <c r="BF1519" i="6"/>
  <c r="BF1520" i="6"/>
  <c r="BG1450" i="6" s="1"/>
  <c r="BB1450" i="6" s="1"/>
  <c r="BF1521" i="6"/>
  <c r="BF1522" i="6"/>
  <c r="BF1523" i="6"/>
  <c r="BF1524" i="6"/>
  <c r="BF1525" i="6"/>
  <c r="BF1526" i="6"/>
  <c r="BF1527" i="6"/>
  <c r="BF1528" i="6"/>
  <c r="BF1529" i="6"/>
  <c r="BF1530" i="6"/>
  <c r="BF1531" i="6"/>
  <c r="BF1532" i="6"/>
  <c r="BF1533" i="6"/>
  <c r="BF1534" i="6"/>
  <c r="BF1535" i="6"/>
  <c r="BG1451" i="6" s="1"/>
  <c r="BB1451" i="6" s="1"/>
  <c r="BF1536" i="6"/>
  <c r="BF1537" i="6"/>
  <c r="BF1538" i="6"/>
  <c r="BF1539" i="6"/>
  <c r="BF1540" i="6"/>
  <c r="BF1541" i="6"/>
  <c r="BF1542" i="6"/>
  <c r="BF1543" i="6"/>
  <c r="BF1544" i="6"/>
  <c r="BF1545" i="6"/>
  <c r="BF1546" i="6"/>
  <c r="BF1547" i="6"/>
  <c r="BF1548" i="6"/>
  <c r="BF1549" i="6"/>
  <c r="BF1550" i="6"/>
  <c r="BG1452" i="6" s="1"/>
  <c r="BB1452" i="6" s="1"/>
  <c r="BF1551" i="6"/>
  <c r="BF1552" i="6"/>
  <c r="BF1553" i="6"/>
  <c r="BF1554" i="6"/>
  <c r="BF1555" i="6"/>
  <c r="BF1556" i="6"/>
  <c r="BF1557" i="6"/>
  <c r="BF1558" i="6"/>
  <c r="BF1559" i="6"/>
  <c r="BF1560" i="6"/>
  <c r="BF1561" i="6"/>
  <c r="BF1562" i="6"/>
  <c r="BF1563" i="6"/>
  <c r="BF1564" i="6"/>
  <c r="BF1565" i="6"/>
  <c r="BG1453" i="6" s="1"/>
  <c r="BB1453" i="6" s="1"/>
  <c r="BF1566" i="6"/>
  <c r="BF1567" i="6"/>
  <c r="BF1568" i="6"/>
  <c r="BF1569" i="6"/>
  <c r="BF1570" i="6"/>
  <c r="BF1571" i="6"/>
  <c r="BF1572" i="6"/>
  <c r="BF1573" i="6"/>
  <c r="BF1574" i="6"/>
  <c r="BF1575" i="6"/>
  <c r="BF1576" i="6"/>
  <c r="BF1577" i="6"/>
  <c r="BF1578" i="6"/>
  <c r="BF1579" i="6"/>
  <c r="BF1580" i="6"/>
  <c r="BG1454" i="6" s="1"/>
  <c r="BF1581" i="6"/>
  <c r="BF1582" i="6"/>
  <c r="BF1583" i="6"/>
  <c r="BF1584" i="6"/>
  <c r="BF1585" i="6"/>
  <c r="BF1586" i="6"/>
  <c r="BF1587" i="6"/>
  <c r="BF1588" i="6"/>
  <c r="BF1589" i="6"/>
  <c r="BF1590" i="6"/>
  <c r="BF1591" i="6"/>
  <c r="BF1592" i="6"/>
  <c r="BF1593" i="6"/>
  <c r="BF1594" i="6"/>
  <c r="BF1595" i="6"/>
  <c r="BG1455" i="6" s="1"/>
  <c r="BB1455" i="6" s="1"/>
  <c r="BF1596" i="6"/>
  <c r="BF1597" i="6"/>
  <c r="BF1598" i="6"/>
  <c r="BF1599" i="6"/>
  <c r="BF1600" i="6"/>
  <c r="BF1601" i="6"/>
  <c r="BF1602" i="6"/>
  <c r="BF1603" i="6"/>
  <c r="BF1604" i="6"/>
  <c r="BF1605" i="6"/>
  <c r="BF1606" i="6"/>
  <c r="BF1607" i="6"/>
  <c r="BF1608" i="6"/>
  <c r="BF1609" i="6"/>
  <c r="BF1610" i="6"/>
  <c r="BG1456" i="6" s="1"/>
  <c r="BB1456" i="6" s="1"/>
  <c r="BF1611" i="6"/>
  <c r="BF1612" i="6"/>
  <c r="BF1613" i="6"/>
  <c r="BF1614" i="6"/>
  <c r="BF1615" i="6"/>
  <c r="BF1616" i="6"/>
  <c r="BF1617" i="6"/>
  <c r="BF1618" i="6"/>
  <c r="BF1619" i="6"/>
  <c r="BF1620" i="6"/>
  <c r="BF1621" i="6"/>
  <c r="BF1622" i="6"/>
  <c r="BF1623" i="6"/>
  <c r="BF1624" i="6"/>
  <c r="BF1625" i="6"/>
  <c r="BG1457" i="6" s="1"/>
  <c r="BB1457" i="6" s="1"/>
  <c r="BF1626" i="6"/>
  <c r="BF1627" i="6"/>
  <c r="BF1628" i="6"/>
  <c r="BF1629" i="6"/>
  <c r="BF1630" i="6"/>
  <c r="BF1631" i="6"/>
  <c r="BF1632" i="6"/>
  <c r="BF1633" i="6"/>
  <c r="BF1634" i="6"/>
  <c r="BF1635" i="6"/>
  <c r="BF1636" i="6"/>
  <c r="BF1637" i="6"/>
  <c r="BF1638" i="6"/>
  <c r="BF1639" i="6"/>
  <c r="BF1640" i="6"/>
  <c r="BG1458" i="6" s="1"/>
  <c r="BB1458" i="6" s="1"/>
  <c r="BF1641" i="6"/>
  <c r="BF1642" i="6"/>
  <c r="BF1643" i="6"/>
  <c r="BF1644" i="6"/>
  <c r="BF1645" i="6"/>
  <c r="BF1646" i="6"/>
  <c r="BF1647" i="6"/>
  <c r="BF1648" i="6"/>
  <c r="BF1649" i="6"/>
  <c r="BF1650" i="6"/>
  <c r="BF1651" i="6"/>
  <c r="BF1652" i="6"/>
  <c r="BF1653" i="6"/>
  <c r="BF1654" i="6"/>
  <c r="BF1655" i="6"/>
  <c r="BG1459" i="6" s="1"/>
  <c r="BB1459" i="6" s="1"/>
  <c r="BF1656" i="6"/>
  <c r="BF1657" i="6"/>
  <c r="BF1658" i="6"/>
  <c r="BF1659" i="6"/>
  <c r="BF1660" i="6"/>
  <c r="BF1661" i="6"/>
  <c r="BF1662" i="6"/>
  <c r="BF1663" i="6"/>
  <c r="BF1664" i="6"/>
  <c r="BF1665" i="6"/>
  <c r="BF1666" i="6"/>
  <c r="BF1667" i="6"/>
  <c r="BF1668" i="6"/>
  <c r="BF1669" i="6"/>
  <c r="BF1670" i="6"/>
  <c r="BG1460" i="6" s="1"/>
  <c r="BB1460" i="6" s="1"/>
  <c r="BF1671" i="6"/>
  <c r="BF1672" i="6"/>
  <c r="BF1673" i="6"/>
  <c r="BF1674" i="6"/>
  <c r="BF1675" i="6"/>
  <c r="BF1676" i="6"/>
  <c r="BF1677" i="6"/>
  <c r="BF1678" i="6"/>
  <c r="BF1679" i="6"/>
  <c r="BF1680" i="6"/>
  <c r="BF1681" i="6"/>
  <c r="BF1682" i="6"/>
  <c r="BF1683" i="6"/>
  <c r="BF1684" i="6"/>
  <c r="BF1685" i="6"/>
  <c r="BG1461" i="6" s="1"/>
  <c r="BB1461" i="6" s="1"/>
  <c r="BF1686" i="6"/>
  <c r="BF1687" i="6"/>
  <c r="BF1688" i="6"/>
  <c r="BF1689" i="6"/>
  <c r="BF1690" i="6"/>
  <c r="BF1691" i="6"/>
  <c r="BF1692" i="6"/>
  <c r="BF1693" i="6"/>
  <c r="BF1694" i="6"/>
  <c r="BF1695" i="6"/>
  <c r="BF1696" i="6"/>
  <c r="BF1697" i="6"/>
  <c r="BF1698" i="6"/>
  <c r="BF1699" i="6"/>
  <c r="BF1700" i="6"/>
  <c r="BG1462" i="6" s="1"/>
  <c r="BB1462" i="6" s="1"/>
  <c r="BF1701" i="6"/>
  <c r="BF1702" i="6"/>
  <c r="BF1703" i="6"/>
  <c r="BF1704" i="6"/>
  <c r="BF1705" i="6"/>
  <c r="BF1706" i="6"/>
  <c r="BF1707" i="6"/>
  <c r="BF1708" i="6"/>
  <c r="BF1709" i="6"/>
  <c r="BF1710" i="6"/>
  <c r="BF1711" i="6"/>
  <c r="BF1712" i="6"/>
  <c r="BF1713" i="6"/>
  <c r="BF1714" i="6"/>
  <c r="BF1715" i="6"/>
  <c r="BG1463" i="6" s="1"/>
  <c r="BB1463" i="6" s="1"/>
  <c r="BF1716" i="6"/>
  <c r="BF1717" i="6"/>
  <c r="BF1718" i="6"/>
  <c r="BF1719" i="6"/>
  <c r="BF1720" i="6"/>
  <c r="BF1721" i="6"/>
  <c r="BF1722" i="6"/>
  <c r="BF1723" i="6"/>
  <c r="BF1724" i="6"/>
  <c r="BF1725" i="6"/>
  <c r="BF1726" i="6"/>
  <c r="BF1727" i="6"/>
  <c r="BF1728" i="6"/>
  <c r="BF1729" i="6"/>
  <c r="BF1730" i="6"/>
  <c r="BG1464" i="6" s="1"/>
  <c r="BB1464" i="6" s="1"/>
  <c r="BF1731" i="6"/>
  <c r="BF1732" i="6"/>
  <c r="BF1733" i="6"/>
  <c r="BF1734" i="6"/>
  <c r="BF1735" i="6"/>
  <c r="BF1736" i="6"/>
  <c r="BF1737" i="6"/>
  <c r="BF1738" i="6"/>
  <c r="BF1739" i="6"/>
  <c r="BF1740" i="6"/>
  <c r="BF1741" i="6"/>
  <c r="BF1742" i="6"/>
  <c r="BF1743" i="6"/>
  <c r="BF1744" i="6"/>
  <c r="BF1745" i="6"/>
  <c r="BG1465" i="6" s="1"/>
  <c r="BB1465" i="6" s="1"/>
  <c r="BF1746" i="6"/>
  <c r="BF1747" i="6"/>
  <c r="BF1748" i="6"/>
  <c r="BF1749" i="6"/>
  <c r="BF1750" i="6"/>
  <c r="BF1751" i="6"/>
  <c r="BF1752" i="6"/>
  <c r="BF1753" i="6"/>
  <c r="BF1754" i="6"/>
  <c r="BF1755" i="6"/>
  <c r="BF1756" i="6"/>
  <c r="BF1757" i="6"/>
  <c r="BF1758" i="6"/>
  <c r="BF1759" i="6"/>
  <c r="BF1760" i="6"/>
  <c r="BG1466" i="6" s="1"/>
  <c r="BB1466" i="6" s="1"/>
  <c r="BF1761" i="6"/>
  <c r="BF1762" i="6"/>
  <c r="BF1763" i="6"/>
  <c r="BF1764" i="6"/>
  <c r="BF1765" i="6"/>
  <c r="BF1766" i="6"/>
  <c r="BF1767" i="6"/>
  <c r="BF1768" i="6"/>
  <c r="BF1769" i="6"/>
  <c r="BF1770" i="6"/>
  <c r="BF1771" i="6"/>
  <c r="BF1772" i="6"/>
  <c r="BF1773" i="6"/>
  <c r="BF1774" i="6"/>
  <c r="BF1775" i="6"/>
  <c r="BG1467" i="6" s="1"/>
  <c r="BB1467" i="6" s="1"/>
  <c r="BF1776" i="6"/>
  <c r="BF1777" i="6"/>
  <c r="BF1778" i="6"/>
  <c r="BF1779" i="6"/>
  <c r="BF1780" i="6"/>
  <c r="BF1781" i="6"/>
  <c r="BF1782" i="6"/>
  <c r="BF1783" i="6"/>
  <c r="BF1784" i="6"/>
  <c r="BF1785" i="6"/>
  <c r="BF1786" i="6"/>
  <c r="BF1787" i="6"/>
  <c r="BF1788" i="6"/>
  <c r="BF1789" i="6"/>
  <c r="BF1790" i="6"/>
  <c r="BG1468" i="6" s="1"/>
  <c r="BB1468" i="6" s="1"/>
  <c r="BF1791" i="6"/>
  <c r="BF1792" i="6"/>
  <c r="BF1793" i="6"/>
  <c r="BF1794" i="6"/>
  <c r="BF1795" i="6"/>
  <c r="BF1796" i="6"/>
  <c r="BF1797" i="6"/>
  <c r="BF1798" i="6"/>
  <c r="BF1799" i="6"/>
  <c r="BF1800" i="6"/>
  <c r="BF1801" i="6"/>
  <c r="BF1802" i="6"/>
  <c r="BF1803" i="6"/>
  <c r="BF1804" i="6"/>
  <c r="BF1805" i="6"/>
  <c r="BG1469" i="6" s="1"/>
  <c r="BB1469" i="6" s="1"/>
  <c r="BF1806" i="6"/>
  <c r="BF1807" i="6"/>
  <c r="BF1808" i="6"/>
  <c r="BF1809" i="6"/>
  <c r="BF1810" i="6"/>
  <c r="BF1811" i="6"/>
  <c r="BF1812" i="6"/>
  <c r="BF1813" i="6"/>
  <c r="BF1814" i="6"/>
  <c r="BF1815" i="6"/>
  <c r="BF1816" i="6"/>
  <c r="BF1817" i="6"/>
  <c r="BF1818" i="6"/>
  <c r="BF1819" i="6"/>
  <c r="BF1820" i="6"/>
  <c r="BG1470" i="6" s="1"/>
  <c r="BF1821" i="6"/>
  <c r="BF1822" i="6"/>
  <c r="BF1823" i="6"/>
  <c r="BF1824" i="6"/>
  <c r="BF1825" i="6"/>
  <c r="BF1826" i="6"/>
  <c r="BF1827" i="6"/>
  <c r="BF1828" i="6"/>
  <c r="BF1829" i="6"/>
  <c r="BF1830" i="6"/>
  <c r="BF1831" i="6"/>
  <c r="BF1832" i="6"/>
  <c r="BF1833" i="6"/>
  <c r="BF1834" i="6"/>
  <c r="BF1835" i="6"/>
  <c r="BG1471" i="6" s="1"/>
  <c r="BB1471" i="6" s="1"/>
  <c r="BF1836" i="6"/>
  <c r="BF1837" i="6"/>
  <c r="BF1838" i="6"/>
  <c r="BF1839" i="6"/>
  <c r="BF1840" i="6"/>
  <c r="BF1841" i="6"/>
  <c r="BF1842" i="6"/>
  <c r="BF1843" i="6"/>
  <c r="BF1844" i="6"/>
  <c r="BF1845" i="6"/>
  <c r="BF1846" i="6"/>
  <c r="BF1847" i="6"/>
  <c r="BF1848" i="6"/>
  <c r="BF1849" i="6"/>
  <c r="BF1850" i="6"/>
  <c r="BG1472" i="6" s="1"/>
  <c r="BB1472" i="6" s="1"/>
  <c r="BF1851" i="6"/>
  <c r="BF1852" i="6"/>
  <c r="BF1853" i="6"/>
  <c r="BF1854" i="6"/>
  <c r="BF1855" i="6"/>
  <c r="BF1856" i="6"/>
  <c r="BF1857" i="6"/>
  <c r="BF1858" i="6"/>
  <c r="BF1859" i="6"/>
  <c r="BF1860" i="6"/>
  <c r="BF1861" i="6"/>
  <c r="BF1862" i="6"/>
  <c r="BF1863" i="6"/>
  <c r="BF1864" i="6"/>
  <c r="BF1865" i="6"/>
  <c r="BG1473" i="6" s="1"/>
  <c r="BB1473" i="6" s="1"/>
  <c r="BF1866" i="6"/>
  <c r="BF1867" i="6"/>
  <c r="BF1868" i="6"/>
  <c r="BF1869" i="6"/>
  <c r="BF1870" i="6"/>
  <c r="BF1871" i="6"/>
  <c r="BF1872" i="6"/>
  <c r="BF1873" i="6"/>
  <c r="BF1874" i="6"/>
  <c r="BF1875" i="6"/>
  <c r="BF1876" i="6"/>
  <c r="BF1877" i="6"/>
  <c r="BF1878" i="6"/>
  <c r="BF1879" i="6"/>
  <c r="BF1880" i="6"/>
  <c r="BG1474" i="6" s="1"/>
  <c r="BB1474" i="6" s="1"/>
  <c r="BF1881" i="6"/>
  <c r="BF1882" i="6"/>
  <c r="BF1883" i="6"/>
  <c r="BF1884" i="6"/>
  <c r="BF1885" i="6"/>
  <c r="BF1886" i="6"/>
  <c r="BF1887" i="6"/>
  <c r="BF1888" i="6"/>
  <c r="BF1889" i="6"/>
  <c r="BF1890" i="6"/>
  <c r="BF1891" i="6"/>
  <c r="BF1892" i="6"/>
  <c r="BF1893" i="6"/>
  <c r="BF1894" i="6"/>
  <c r="BF1895" i="6"/>
  <c r="BG1475" i="6" s="1"/>
  <c r="BB1475" i="6" s="1"/>
  <c r="BF1896" i="6"/>
  <c r="BF1897" i="6"/>
  <c r="BF1898" i="6"/>
  <c r="BF1899" i="6"/>
  <c r="BF1900" i="6"/>
  <c r="BF1901" i="6"/>
  <c r="BF1902" i="6"/>
  <c r="BF1903" i="6"/>
  <c r="BF1904" i="6"/>
  <c r="BF1905" i="6"/>
  <c r="BF1906" i="6"/>
  <c r="BF1907" i="6"/>
  <c r="BF1908" i="6"/>
  <c r="BF1909" i="6"/>
  <c r="BF1910" i="6"/>
  <c r="BG1476" i="6" s="1"/>
  <c r="BB1476" i="6" s="1"/>
  <c r="BF1911" i="6"/>
  <c r="BF1912" i="6"/>
  <c r="BF1913" i="6"/>
  <c r="BF1914" i="6"/>
  <c r="BF1915" i="6"/>
  <c r="BF1916" i="6"/>
  <c r="BF1917" i="6"/>
  <c r="BF1918" i="6"/>
  <c r="BF1919" i="6"/>
  <c r="BF1920" i="6"/>
  <c r="BF1921" i="6"/>
  <c r="BF1922" i="6"/>
  <c r="BF1923" i="6"/>
  <c r="BF1924" i="6"/>
  <c r="BF1925" i="6"/>
  <c r="BG1477" i="6" s="1"/>
  <c r="BB1477" i="6" s="1"/>
  <c r="BF1926" i="6"/>
  <c r="BF1927" i="6"/>
  <c r="BF1928" i="6"/>
  <c r="BF1929" i="6"/>
  <c r="BF1930" i="6"/>
  <c r="BF1931" i="6"/>
  <c r="BF1932" i="6"/>
  <c r="BF1933" i="6"/>
  <c r="BF1934" i="6"/>
  <c r="BF1935" i="6"/>
  <c r="BF1936" i="6"/>
  <c r="BF1937" i="6"/>
  <c r="BF1938" i="6"/>
  <c r="BF1939" i="6"/>
  <c r="BF1940" i="6"/>
  <c r="BG1478" i="6" s="1"/>
  <c r="BB1478" i="6" s="1"/>
  <c r="BF1941" i="6"/>
  <c r="BF1942" i="6"/>
  <c r="BF1943" i="6"/>
  <c r="BF1944" i="6"/>
  <c r="BF1945" i="6"/>
  <c r="BF1946" i="6"/>
  <c r="BF1947" i="6"/>
  <c r="BF1948" i="6"/>
  <c r="BF1949" i="6"/>
  <c r="BF1950" i="6"/>
  <c r="BF1951" i="6"/>
  <c r="BF1952" i="6"/>
  <c r="BF1953" i="6"/>
  <c r="BF1954" i="6"/>
  <c r="BF1955" i="6"/>
  <c r="BG1479" i="6" s="1"/>
  <c r="BB1479" i="6" s="1"/>
  <c r="BF1956" i="6"/>
  <c r="BF1957" i="6"/>
  <c r="BF1958" i="6"/>
  <c r="BF1959" i="6"/>
  <c r="BF1960" i="6"/>
  <c r="BF1961" i="6"/>
  <c r="BF1962" i="6"/>
  <c r="BF1963" i="6"/>
  <c r="BF1964" i="6"/>
  <c r="BF1965" i="6"/>
  <c r="BF1966" i="6"/>
  <c r="BF1967" i="6"/>
  <c r="BF1968" i="6"/>
  <c r="BF1969" i="6"/>
  <c r="BF1970" i="6"/>
  <c r="BG1480" i="6" s="1"/>
  <c r="BB1480" i="6" s="1"/>
  <c r="BF1971" i="6"/>
  <c r="BF1972" i="6"/>
  <c r="BF1973" i="6"/>
  <c r="BF1974" i="6"/>
  <c r="BF1975" i="6"/>
  <c r="BF1976" i="6"/>
  <c r="BF1977" i="6"/>
  <c r="BF1978" i="6"/>
  <c r="BF1979" i="6"/>
  <c r="BF1980" i="6"/>
  <c r="BF1981" i="6"/>
  <c r="BF1982" i="6"/>
  <c r="BF1983" i="6"/>
  <c r="BF1984" i="6"/>
  <c r="BF1985" i="6"/>
  <c r="BG1481" i="6" s="1"/>
  <c r="BB1481" i="6" s="1"/>
  <c r="BF1986" i="6"/>
  <c r="BF1987" i="6"/>
  <c r="BF1988" i="6"/>
  <c r="BF1989" i="6"/>
  <c r="BF1990" i="6"/>
  <c r="BF1991" i="6"/>
  <c r="BF1992" i="6"/>
  <c r="BF1993" i="6"/>
  <c r="BF1994" i="6"/>
  <c r="BF1995" i="6"/>
  <c r="BF1996" i="6"/>
  <c r="BF1997" i="6"/>
  <c r="BF1998" i="6"/>
  <c r="BF1999" i="6"/>
  <c r="BF2000" i="6"/>
  <c r="BG1482" i="6" s="1"/>
  <c r="BB1482" i="6" s="1"/>
  <c r="BF2001" i="6"/>
  <c r="BF2002" i="6"/>
  <c r="BF2003" i="6"/>
  <c r="BF2004" i="6"/>
  <c r="BF2005" i="6"/>
  <c r="BF2006" i="6"/>
  <c r="BF2007" i="6"/>
  <c r="BF2008" i="6"/>
  <c r="BF2009" i="6"/>
  <c r="BF2010" i="6"/>
  <c r="BF2011" i="6"/>
  <c r="BF2012" i="6"/>
  <c r="BF2013" i="6"/>
  <c r="BF2014" i="6"/>
  <c r="BF2015" i="6"/>
  <c r="BG1483" i="6" s="1"/>
  <c r="BB1483" i="6" s="1"/>
  <c r="BF2016" i="6"/>
  <c r="BF2017" i="6"/>
  <c r="BF2018" i="6"/>
  <c r="BF2019" i="6"/>
  <c r="BF2020" i="6"/>
  <c r="BF2021" i="6"/>
  <c r="BF2022" i="6"/>
  <c r="BF2023" i="6"/>
  <c r="BF2024" i="6"/>
  <c r="BF2025" i="6"/>
  <c r="BF2026" i="6"/>
  <c r="BF2027" i="6"/>
  <c r="BF2028" i="6"/>
  <c r="BF2029" i="6"/>
  <c r="BF2030" i="6"/>
  <c r="BG1484" i="6" s="1"/>
  <c r="BB1484" i="6" s="1"/>
  <c r="BF2031" i="6"/>
  <c r="BF2032" i="6"/>
  <c r="BF2033" i="6"/>
  <c r="BF2034" i="6"/>
  <c r="BF2035" i="6"/>
  <c r="BF2036" i="6"/>
  <c r="BF2037" i="6"/>
  <c r="BF2038" i="6"/>
  <c r="BF2039" i="6"/>
  <c r="BF2040" i="6"/>
  <c r="BF2041" i="6"/>
  <c r="BF2042" i="6"/>
  <c r="BF2043" i="6"/>
  <c r="BF2044" i="6"/>
  <c r="BF2045" i="6"/>
  <c r="BG1485" i="6" s="1"/>
  <c r="BB1485" i="6" s="1"/>
  <c r="BF2046" i="6"/>
  <c r="BF2047" i="6"/>
  <c r="BF2048" i="6"/>
  <c r="BF2049" i="6"/>
  <c r="BF2050" i="6"/>
  <c r="BF2051" i="6"/>
  <c r="BF2052" i="6"/>
  <c r="BF2053" i="6"/>
  <c r="BF2054" i="6"/>
  <c r="BF2055" i="6"/>
  <c r="BF2056" i="6"/>
  <c r="BF2057" i="6"/>
  <c r="BF2058" i="6"/>
  <c r="BF2059" i="6"/>
  <c r="BF2060" i="6"/>
  <c r="BG1486" i="6" s="1"/>
  <c r="BB1486" i="6" s="1"/>
  <c r="BF2061" i="6"/>
  <c r="BF2062" i="6"/>
  <c r="BF2063" i="6"/>
  <c r="BF2064" i="6"/>
  <c r="BF2065" i="6"/>
  <c r="BF2066" i="6"/>
  <c r="BF2067" i="6"/>
  <c r="BF2068" i="6"/>
  <c r="BF2069" i="6"/>
  <c r="BF2070" i="6"/>
  <c r="BF2071" i="6"/>
  <c r="BF2072" i="6"/>
  <c r="BF2073" i="6"/>
  <c r="BF2074" i="6"/>
  <c r="BF2075" i="6"/>
  <c r="BG1487" i="6" s="1"/>
  <c r="BB1487" i="6" s="1"/>
  <c r="BF2076" i="6"/>
  <c r="BF2077" i="6"/>
  <c r="BF2078" i="6"/>
  <c r="BF2079" i="6"/>
  <c r="BF2080" i="6"/>
  <c r="BF2081" i="6"/>
  <c r="BF2082" i="6"/>
  <c r="BF2083" i="6"/>
  <c r="BF2084" i="6"/>
  <c r="BF2085" i="6"/>
  <c r="BF2086" i="6"/>
  <c r="BF2087" i="6"/>
  <c r="BF2088" i="6"/>
  <c r="BF2089" i="6"/>
  <c r="BF2090" i="6"/>
  <c r="BG1488" i="6" s="1"/>
  <c r="BB1488" i="6" s="1"/>
  <c r="BF2091" i="6"/>
  <c r="BF2092" i="6"/>
  <c r="BF2093" i="6"/>
  <c r="BF2094" i="6"/>
  <c r="BF2095" i="6"/>
  <c r="BF2096" i="6"/>
  <c r="BF2097" i="6"/>
  <c r="BF2098" i="6"/>
  <c r="BF2099" i="6"/>
  <c r="BF2100" i="6"/>
  <c r="BF2101" i="6"/>
  <c r="BF2102" i="6"/>
  <c r="BF2103" i="6"/>
  <c r="BF2104" i="6"/>
  <c r="BF2105" i="6"/>
  <c r="BG1489" i="6" s="1"/>
  <c r="BB1489" i="6" s="1"/>
  <c r="BF2106" i="6"/>
  <c r="BF2107" i="6"/>
  <c r="BF2108" i="6"/>
  <c r="BF2109" i="6"/>
  <c r="BF2110" i="6"/>
  <c r="BF2111" i="6"/>
  <c r="BF2112" i="6"/>
  <c r="BF2113" i="6"/>
  <c r="BF2114" i="6"/>
  <c r="BF2115" i="6"/>
  <c r="BF2116" i="6"/>
  <c r="BF2117" i="6"/>
  <c r="BF2118" i="6"/>
  <c r="BF2119" i="6"/>
  <c r="BF2120" i="6"/>
  <c r="BG1490" i="6" s="1"/>
  <c r="BB1490" i="6" s="1"/>
  <c r="BF2121" i="6"/>
  <c r="BF2122" i="6"/>
  <c r="BF2123" i="6"/>
  <c r="BF2124" i="6"/>
  <c r="BF2125" i="6"/>
  <c r="BF2126" i="6"/>
  <c r="BF2127" i="6"/>
  <c r="BF2128" i="6"/>
  <c r="BF2129" i="6"/>
  <c r="BF2130" i="6"/>
  <c r="BF2131" i="6"/>
  <c r="BF2132" i="6"/>
  <c r="BF2133" i="6"/>
  <c r="BF2134" i="6"/>
  <c r="BF2135" i="6"/>
  <c r="BG1491" i="6" s="1"/>
  <c r="BB1491" i="6" s="1"/>
  <c r="BF2136" i="6"/>
  <c r="BF2137" i="6"/>
  <c r="BF2138" i="6"/>
  <c r="BF2139" i="6"/>
  <c r="BF2140" i="6"/>
  <c r="BF2141" i="6"/>
  <c r="BF2142" i="6"/>
  <c r="BF2143" i="6"/>
  <c r="BF2144" i="6"/>
  <c r="BF2145" i="6"/>
  <c r="BF2146" i="6"/>
  <c r="BF2147" i="6"/>
  <c r="BF2148" i="6"/>
  <c r="BF2149" i="6"/>
  <c r="BF2150" i="6"/>
  <c r="BG1492" i="6" s="1"/>
  <c r="BB1492" i="6" s="1"/>
  <c r="BF2151" i="6"/>
  <c r="BF2152" i="6"/>
  <c r="BF2153" i="6"/>
  <c r="BF2154" i="6"/>
  <c r="BF2155" i="6"/>
  <c r="BF2156" i="6"/>
  <c r="BF2157" i="6"/>
  <c r="BF2158" i="6"/>
  <c r="BF2159" i="6"/>
  <c r="BF2160" i="6"/>
  <c r="BF2161" i="6"/>
  <c r="BF2162" i="6"/>
  <c r="BF2163" i="6"/>
  <c r="BF2164" i="6"/>
  <c r="BF2165" i="6"/>
  <c r="BG1493" i="6" s="1"/>
  <c r="BB1493" i="6" s="1"/>
  <c r="BF2166" i="6"/>
  <c r="BF2167" i="6"/>
  <c r="BF2168" i="6"/>
  <c r="BF2169" i="6"/>
  <c r="BF2170" i="6"/>
  <c r="BF2171" i="6"/>
  <c r="BF2172" i="6"/>
  <c r="BF2173" i="6"/>
  <c r="BF2174" i="6"/>
  <c r="BF2175" i="6"/>
  <c r="BF2176" i="6"/>
  <c r="BF2177" i="6"/>
  <c r="BF2178" i="6"/>
  <c r="BF2179" i="6"/>
  <c r="BF2180" i="6"/>
  <c r="BG1494" i="6" s="1"/>
  <c r="BB1494" i="6" s="1"/>
  <c r="BF2181" i="6"/>
  <c r="BF2182" i="6"/>
  <c r="BF2183" i="6"/>
  <c r="BF2184" i="6"/>
  <c r="BF2185" i="6"/>
  <c r="BF2186" i="6"/>
  <c r="BF2187" i="6"/>
  <c r="BF2188" i="6"/>
  <c r="BF2189" i="6"/>
  <c r="BF2190" i="6"/>
  <c r="BF2191" i="6"/>
  <c r="BF2192" i="6"/>
  <c r="BF2193" i="6"/>
  <c r="BF2194" i="6"/>
  <c r="BF2195" i="6"/>
  <c r="BG1495" i="6" s="1"/>
  <c r="BB1495" i="6" s="1"/>
  <c r="BF2196" i="6"/>
  <c r="BF2197" i="6"/>
  <c r="BF2198" i="6"/>
  <c r="BF2199" i="6"/>
  <c r="BF2200" i="6"/>
  <c r="BF2201" i="6"/>
  <c r="BF2202" i="6"/>
  <c r="BF2203" i="6"/>
  <c r="BF2204" i="6"/>
  <c r="BF2205" i="6"/>
  <c r="BF2206" i="6"/>
  <c r="BF2207" i="6"/>
  <c r="BF2208" i="6"/>
  <c r="BF2209" i="6"/>
  <c r="BF2210" i="6"/>
  <c r="BG1496" i="6" s="1"/>
  <c r="BB1496" i="6" s="1"/>
  <c r="BF2211" i="6"/>
  <c r="BF2212" i="6"/>
  <c r="BF2213" i="6"/>
  <c r="BF2214" i="6"/>
  <c r="BF2215" i="6"/>
  <c r="BF2216" i="6"/>
  <c r="BF2217" i="6"/>
  <c r="BF2218" i="6"/>
  <c r="BF2219" i="6"/>
  <c r="BF2220" i="6"/>
  <c r="BF2221" i="6"/>
  <c r="BF2222" i="6"/>
  <c r="BF2223" i="6"/>
  <c r="BF2224" i="6"/>
  <c r="BF2225" i="6"/>
  <c r="BG1497" i="6" s="1"/>
  <c r="BB1497" i="6" s="1"/>
  <c r="BF2226" i="6"/>
  <c r="BF2227" i="6"/>
  <c r="BF2228" i="6"/>
  <c r="BF2229" i="6"/>
  <c r="BF2230" i="6"/>
  <c r="BF2231" i="6"/>
  <c r="BF2232" i="6"/>
  <c r="BF2233" i="6"/>
  <c r="BF2234" i="6"/>
  <c r="BF2235" i="6"/>
  <c r="BF2236" i="6"/>
  <c r="BF2237" i="6"/>
  <c r="BF2238" i="6"/>
  <c r="BF2239" i="6"/>
  <c r="BF2240" i="6"/>
  <c r="BG1498" i="6" s="1"/>
  <c r="BB1498" i="6" s="1"/>
  <c r="BF2241" i="6"/>
  <c r="BF2242" i="6"/>
  <c r="BF2243" i="6"/>
  <c r="BF2244" i="6"/>
  <c r="BF2245" i="6"/>
  <c r="BF2246" i="6"/>
  <c r="BF2247" i="6"/>
  <c r="BF2248" i="6"/>
  <c r="BF2249" i="6"/>
  <c r="BF2250" i="6"/>
  <c r="BF2251" i="6"/>
  <c r="BF2252" i="6"/>
  <c r="BF2253" i="6"/>
  <c r="BF2254" i="6"/>
  <c r="BF2255" i="6"/>
  <c r="BG1499" i="6" s="1"/>
  <c r="BB1499" i="6" s="1"/>
  <c r="BF2256" i="6"/>
  <c r="BF2257" i="6"/>
  <c r="BF2258" i="6"/>
  <c r="BF2259" i="6"/>
  <c r="BF2260" i="6"/>
  <c r="BF2261" i="6"/>
  <c r="BF2262" i="6"/>
  <c r="BF2263" i="6"/>
  <c r="BF2264" i="6"/>
  <c r="BF2265" i="6"/>
  <c r="BF2266" i="6"/>
  <c r="BF2267" i="6"/>
  <c r="BF2268" i="6"/>
  <c r="BF2269" i="6"/>
  <c r="BF2270" i="6"/>
  <c r="BG1500" i="6" s="1"/>
  <c r="BB1500" i="6" s="1"/>
  <c r="BF2271" i="6"/>
  <c r="BF2272" i="6"/>
  <c r="BF2273" i="6"/>
  <c r="BF2274" i="6"/>
  <c r="BF2275" i="6"/>
  <c r="BF2276" i="6"/>
  <c r="BF2277" i="6"/>
  <c r="BF2278" i="6"/>
  <c r="BF2279" i="6"/>
  <c r="BF2280" i="6"/>
  <c r="BF2281" i="6"/>
  <c r="BF2282" i="6"/>
  <c r="BF2283" i="6"/>
  <c r="BF2284" i="6"/>
  <c r="BF2285" i="6"/>
  <c r="BG1501" i="6" s="1"/>
  <c r="BB1501" i="6" s="1"/>
  <c r="BF2286" i="6"/>
  <c r="BF2287" i="6"/>
  <c r="BF2288" i="6"/>
  <c r="BF2289" i="6"/>
  <c r="BF2290" i="6"/>
  <c r="BF2291" i="6"/>
  <c r="BF2292" i="6"/>
  <c r="BF2293" i="6"/>
  <c r="BF2294" i="6"/>
  <c r="BF2295" i="6"/>
  <c r="BF2296" i="6"/>
  <c r="BF2297" i="6"/>
  <c r="BF2298" i="6"/>
  <c r="BF2299" i="6"/>
  <c r="BF2300" i="6"/>
  <c r="BG1502" i="6" s="1"/>
  <c r="BB1502" i="6" s="1"/>
  <c r="BF2301" i="6"/>
  <c r="BF2302" i="6"/>
  <c r="BF2303" i="6"/>
  <c r="BF2304" i="6"/>
  <c r="BF2305" i="6"/>
  <c r="BF2306" i="6"/>
  <c r="BF2307" i="6"/>
  <c r="BF2308" i="6"/>
  <c r="BF2309" i="6"/>
  <c r="BF2310" i="6"/>
  <c r="BF2311" i="6"/>
  <c r="BF2312" i="6"/>
  <c r="BF2313" i="6"/>
  <c r="BF2314" i="6"/>
  <c r="BF2315" i="6"/>
  <c r="BG1503" i="6" s="1"/>
  <c r="BB1503" i="6" s="1"/>
  <c r="BF2316" i="6"/>
  <c r="BF2317" i="6"/>
  <c r="BF2318" i="6"/>
  <c r="BF2319" i="6"/>
  <c r="BF2320" i="6"/>
  <c r="BF2321" i="6"/>
  <c r="BF2322" i="6"/>
  <c r="BF2323" i="6"/>
  <c r="BF2324" i="6"/>
  <c r="BF2325" i="6"/>
  <c r="BF2326" i="6"/>
  <c r="BF2327" i="6"/>
  <c r="BF2328" i="6"/>
  <c r="BF2329" i="6"/>
  <c r="BF2330" i="6"/>
  <c r="BG1504" i="6" s="1"/>
  <c r="BB1504" i="6" s="1"/>
  <c r="BF2331" i="6"/>
  <c r="BF2332" i="6"/>
  <c r="BF2333" i="6"/>
  <c r="BF2334" i="6"/>
  <c r="BF2335" i="6"/>
  <c r="BF2336" i="6"/>
  <c r="BF2337" i="6"/>
  <c r="BF2338" i="6"/>
  <c r="BF2339" i="6"/>
  <c r="BF2340" i="6"/>
  <c r="BF2341" i="6"/>
  <c r="BF2342" i="6"/>
  <c r="BF2343" i="6"/>
  <c r="BF2344" i="6"/>
  <c r="BF2345" i="6"/>
  <c r="BG1505" i="6" s="1"/>
  <c r="BB1505" i="6" s="1"/>
  <c r="BF2346" i="6"/>
  <c r="BF2347" i="6"/>
  <c r="BF2348" i="6"/>
  <c r="BF2349" i="6"/>
  <c r="BF2350" i="6"/>
  <c r="BF2351" i="6"/>
  <c r="BF2352" i="6"/>
  <c r="BF2353" i="6"/>
  <c r="BF2354" i="6"/>
  <c r="BF2355" i="6"/>
  <c r="BF2356" i="6"/>
  <c r="BF2357" i="6"/>
  <c r="BF2358" i="6"/>
  <c r="BF2359" i="6"/>
  <c r="BF2360" i="6"/>
  <c r="BG1506" i="6" s="1"/>
  <c r="BB1506" i="6" s="1"/>
  <c r="BF2361" i="6"/>
  <c r="BF2362" i="6"/>
  <c r="BF2363" i="6"/>
  <c r="BF2364" i="6"/>
  <c r="BF2365" i="6"/>
  <c r="BF2366" i="6"/>
  <c r="BF2367" i="6"/>
  <c r="BF2368" i="6"/>
  <c r="BF2369" i="6"/>
  <c r="BF2370" i="6"/>
  <c r="BF2371" i="6"/>
  <c r="BF2372" i="6"/>
  <c r="BF2373" i="6"/>
  <c r="BF2374" i="6"/>
  <c r="BF2375" i="6"/>
  <c r="BG1507" i="6" s="1"/>
  <c r="BB1507" i="6" s="1"/>
  <c r="BF2376" i="6"/>
  <c r="BF2377" i="6"/>
  <c r="BF2378" i="6"/>
  <c r="BF2379" i="6"/>
  <c r="BF2380" i="6"/>
  <c r="BF2381" i="6"/>
  <c r="BF2382" i="6"/>
  <c r="BF2383" i="6"/>
  <c r="BF2384" i="6"/>
  <c r="BF2385" i="6"/>
  <c r="BF2386" i="6"/>
  <c r="BF2387" i="6"/>
  <c r="BF2388" i="6"/>
  <c r="BF2389" i="6"/>
  <c r="BF2390" i="6"/>
  <c r="BG1508" i="6" s="1"/>
  <c r="BB1508" i="6" s="1"/>
  <c r="BF2391" i="6"/>
  <c r="BF2392" i="6"/>
  <c r="BF2393" i="6"/>
  <c r="BF2394" i="6"/>
  <c r="BF2395" i="6"/>
  <c r="BF2396" i="6"/>
  <c r="BF2397" i="6"/>
  <c r="BF2398" i="6"/>
  <c r="BF2399" i="6"/>
  <c r="BF2400" i="6"/>
  <c r="BF2401" i="6"/>
  <c r="BF2402" i="6"/>
  <c r="BF2403" i="6"/>
  <c r="BF2404" i="6"/>
  <c r="BF2405" i="6"/>
  <c r="BG1509" i="6" s="1"/>
  <c r="BB1509" i="6" s="1"/>
  <c r="BF2406" i="6"/>
  <c r="BF2407" i="6"/>
  <c r="BF2408" i="6"/>
  <c r="BF2409" i="6"/>
  <c r="BF2410" i="6"/>
  <c r="BF2411" i="6"/>
  <c r="BF2412" i="6"/>
  <c r="BF2413" i="6"/>
  <c r="BF2414" i="6"/>
  <c r="BF2415" i="6"/>
  <c r="BF2416" i="6"/>
  <c r="BF2417" i="6"/>
  <c r="BF2418" i="6"/>
  <c r="BF2419" i="6"/>
  <c r="BF2420" i="6"/>
  <c r="BG1510" i="6" s="1"/>
  <c r="BB1510" i="6" s="1"/>
  <c r="BF2421" i="6"/>
  <c r="BF2422" i="6"/>
  <c r="BF2423" i="6"/>
  <c r="BF2424" i="6"/>
  <c r="BF2425" i="6"/>
  <c r="BF2426" i="6"/>
  <c r="BF2427" i="6"/>
  <c r="BF2428" i="6"/>
  <c r="BF2429" i="6"/>
  <c r="BF2430" i="6"/>
  <c r="BF2431" i="6"/>
  <c r="BF2432" i="6"/>
  <c r="BF2433" i="6"/>
  <c r="BF2434" i="6"/>
  <c r="BF2435" i="6"/>
  <c r="BG1511" i="6" s="1"/>
  <c r="BB1511" i="6" s="1"/>
  <c r="BF2436" i="6"/>
  <c r="BF2437" i="6"/>
  <c r="BF2438" i="6"/>
  <c r="BF2439" i="6"/>
  <c r="BF2440" i="6"/>
  <c r="BF2441" i="6"/>
  <c r="BF2442" i="6"/>
  <c r="BF2443" i="6"/>
  <c r="BF2444" i="6"/>
  <c r="BF2445" i="6"/>
  <c r="BF2446" i="6"/>
  <c r="BF2447" i="6"/>
  <c r="BF2448" i="6"/>
  <c r="BF2449" i="6"/>
  <c r="BF2450" i="6"/>
  <c r="BG1512" i="6" s="1"/>
  <c r="BB1512" i="6" s="1"/>
  <c r="BF2451" i="6"/>
  <c r="BF2452" i="6"/>
  <c r="BF2453" i="6"/>
  <c r="BF2454" i="6"/>
  <c r="BF2455" i="6"/>
  <c r="BF2456" i="6"/>
  <c r="BF2457" i="6"/>
  <c r="BF2458" i="6"/>
  <c r="BF2459" i="6"/>
  <c r="BF2460" i="6"/>
  <c r="BF2461" i="6"/>
  <c r="BF2462" i="6"/>
  <c r="BF2463" i="6"/>
  <c r="BF2464" i="6"/>
  <c r="BF2465" i="6"/>
  <c r="BG1513" i="6" s="1"/>
  <c r="BB1513" i="6" s="1"/>
  <c r="BF2466" i="6"/>
  <c r="BF2467" i="6"/>
  <c r="BF2468" i="6"/>
  <c r="BF2469" i="6"/>
  <c r="BF2470" i="6"/>
  <c r="BF2471" i="6"/>
  <c r="BF2472" i="6"/>
  <c r="BF2473" i="6"/>
  <c r="BF2474" i="6"/>
  <c r="BF2475" i="6"/>
  <c r="BF2476" i="6"/>
  <c r="BF2477" i="6"/>
  <c r="BF2478" i="6"/>
  <c r="BF2479" i="6"/>
  <c r="BF2480" i="6"/>
  <c r="BG1514" i="6" s="1"/>
  <c r="BB1514" i="6" s="1"/>
  <c r="BF2481" i="6"/>
  <c r="BF2482" i="6"/>
  <c r="BF2483" i="6"/>
  <c r="BF2484" i="6"/>
  <c r="BF2485" i="6"/>
  <c r="BF2486" i="6"/>
  <c r="BF2487" i="6"/>
  <c r="BF2488" i="6"/>
  <c r="BF2489" i="6"/>
  <c r="BF2490" i="6"/>
  <c r="BF2491" i="6"/>
  <c r="BF2492" i="6"/>
  <c r="BF2493" i="6"/>
  <c r="BF2494" i="6"/>
  <c r="BF2495" i="6"/>
  <c r="BG1515" i="6" s="1"/>
  <c r="BB1515" i="6" s="1"/>
  <c r="BF2496" i="6"/>
  <c r="BF2497" i="6"/>
  <c r="BF2498" i="6"/>
  <c r="BF2499" i="6"/>
  <c r="BF2500" i="6"/>
  <c r="BF2501" i="6"/>
  <c r="BF2502" i="6"/>
  <c r="BF2503" i="6"/>
  <c r="BF2504" i="6"/>
  <c r="BF2505" i="6"/>
  <c r="BF2506" i="6"/>
  <c r="BF2507" i="6"/>
  <c r="BF2508" i="6"/>
  <c r="BF2509" i="6"/>
  <c r="BF2510" i="6"/>
  <c r="BG1516" i="6" s="1"/>
  <c r="BB1516" i="6" s="1"/>
  <c r="BF2511" i="6"/>
  <c r="BF2512" i="6"/>
  <c r="BF2513" i="6"/>
  <c r="BF2514" i="6"/>
  <c r="BF2515" i="6"/>
  <c r="BF2516" i="6"/>
  <c r="BF2517" i="6"/>
  <c r="BF2518" i="6"/>
  <c r="BF2519" i="6"/>
  <c r="BF2520" i="6"/>
  <c r="BF2521" i="6"/>
  <c r="BF2522" i="6"/>
  <c r="BF2523" i="6"/>
  <c r="BF2524" i="6"/>
  <c r="BF2525" i="6"/>
  <c r="BG1517" i="6" s="1"/>
  <c r="BB1517" i="6" s="1"/>
  <c r="BF2526" i="6"/>
  <c r="BF2527" i="6"/>
  <c r="BF2528" i="6"/>
  <c r="BF2529" i="6"/>
  <c r="BF2530" i="6"/>
  <c r="BF2531" i="6"/>
  <c r="BF2532" i="6"/>
  <c r="BF2533" i="6"/>
  <c r="BF2534" i="6"/>
  <c r="BF2535" i="6"/>
  <c r="BF2536" i="6"/>
  <c r="BF2537" i="6"/>
  <c r="BF2538" i="6"/>
  <c r="BF2539" i="6"/>
  <c r="BF2540" i="6"/>
  <c r="BG1518" i="6" s="1"/>
  <c r="BB1518" i="6" s="1"/>
  <c r="BF2541" i="6"/>
  <c r="BF2542" i="6"/>
  <c r="BF2543" i="6"/>
  <c r="BF2544" i="6"/>
  <c r="BF2545" i="6"/>
  <c r="BF2546" i="6"/>
  <c r="BF2547" i="6"/>
  <c r="BF2548" i="6"/>
  <c r="BF2549" i="6"/>
  <c r="BF2550" i="6"/>
  <c r="BF2551" i="6"/>
  <c r="BF2552" i="6"/>
  <c r="BF2553" i="6"/>
  <c r="BF2554" i="6"/>
  <c r="BF2555" i="6"/>
  <c r="BG1519" i="6" s="1"/>
  <c r="BB1519" i="6" s="1"/>
  <c r="BF2556" i="6"/>
  <c r="BF2557" i="6"/>
  <c r="BF2558" i="6"/>
  <c r="BF2559" i="6"/>
  <c r="BF2560" i="6"/>
  <c r="BF2561" i="6"/>
  <c r="BF2562" i="6"/>
  <c r="BF2563" i="6"/>
  <c r="BF2564" i="6"/>
  <c r="BF2565" i="6"/>
  <c r="BF2566" i="6"/>
  <c r="BF2567" i="6"/>
  <c r="BF2568" i="6"/>
  <c r="BF2569" i="6"/>
  <c r="BF2570" i="6"/>
  <c r="BG1520" i="6" s="1"/>
  <c r="BB1520" i="6" s="1"/>
  <c r="BF2571" i="6"/>
  <c r="BF2572" i="6"/>
  <c r="BF2573" i="6"/>
  <c r="BF2574" i="6"/>
  <c r="BF2575" i="6"/>
  <c r="BF2576" i="6"/>
  <c r="BF2577" i="6"/>
  <c r="BF2578" i="6"/>
  <c r="BF2579" i="6"/>
  <c r="BF2580" i="6"/>
  <c r="BF2581" i="6"/>
  <c r="BF2582" i="6"/>
  <c r="BF2583" i="6"/>
  <c r="BF2584" i="6"/>
  <c r="BF2585" i="6"/>
  <c r="BG1521" i="6" s="1"/>
  <c r="BB1521" i="6" s="1"/>
  <c r="BF2586" i="6"/>
  <c r="BF2587" i="6"/>
  <c r="BF2588" i="6"/>
  <c r="BF2589" i="6"/>
  <c r="BF2590" i="6"/>
  <c r="BF2591" i="6"/>
  <c r="BF2592" i="6"/>
  <c r="BF2593" i="6"/>
  <c r="BF2594" i="6"/>
  <c r="BF2595" i="6"/>
  <c r="BF2596" i="6"/>
  <c r="BF2597" i="6"/>
  <c r="BF2598" i="6"/>
  <c r="BF2599" i="6"/>
  <c r="BF2600" i="6"/>
  <c r="BG1522" i="6" s="1"/>
  <c r="BB1522" i="6" s="1"/>
  <c r="BF2601" i="6"/>
  <c r="BF2602" i="6"/>
  <c r="BF2603" i="6"/>
  <c r="BF2604" i="6"/>
  <c r="BF2605" i="6"/>
  <c r="BF2606" i="6"/>
  <c r="BF2607" i="6"/>
  <c r="BF2608" i="6"/>
  <c r="BF2609" i="6"/>
  <c r="BF2610" i="6"/>
  <c r="BF2611" i="6"/>
  <c r="BF2612" i="6"/>
  <c r="BF2613" i="6"/>
  <c r="BF2614" i="6"/>
  <c r="BF2615" i="6"/>
  <c r="BG1523" i="6" s="1"/>
  <c r="BB1523" i="6" s="1"/>
  <c r="BF2616" i="6"/>
  <c r="BF2617" i="6"/>
  <c r="BF2618" i="6"/>
  <c r="BF2619" i="6"/>
  <c r="BF2620" i="6"/>
  <c r="BF2621" i="6"/>
  <c r="BF2622" i="6"/>
  <c r="BF2623" i="6"/>
  <c r="BF2624" i="6"/>
  <c r="BF2625" i="6"/>
  <c r="BF2626" i="6"/>
  <c r="BF2627" i="6"/>
  <c r="BF2628" i="6"/>
  <c r="BF2629" i="6"/>
  <c r="BF2630" i="6"/>
  <c r="BG1524" i="6" s="1"/>
  <c r="BB1524" i="6" s="1"/>
  <c r="BF2631" i="6"/>
  <c r="BF2632" i="6"/>
  <c r="BF2633" i="6"/>
  <c r="BF2634" i="6"/>
  <c r="BF2635" i="6"/>
  <c r="BF2636" i="6"/>
  <c r="BF2637" i="6"/>
  <c r="BF2638" i="6"/>
  <c r="BF2639" i="6"/>
  <c r="BF2640" i="6"/>
  <c r="BF2641" i="6"/>
  <c r="BF2642" i="6"/>
  <c r="BF2643" i="6"/>
  <c r="BF2644" i="6"/>
  <c r="BF2645" i="6"/>
  <c r="BG1525" i="6" s="1"/>
  <c r="BB1525" i="6" s="1"/>
  <c r="BF2646" i="6"/>
  <c r="BF2647" i="6"/>
  <c r="BF2648" i="6"/>
  <c r="BF2649" i="6"/>
  <c r="BF2650" i="6"/>
  <c r="BF2651" i="6"/>
  <c r="BF2652" i="6"/>
  <c r="BF2653" i="6"/>
  <c r="BF2654" i="6"/>
  <c r="BF2655" i="6"/>
  <c r="BF2656" i="6"/>
  <c r="BF2657" i="6"/>
  <c r="BF2658" i="6"/>
  <c r="BF2659" i="6"/>
  <c r="BF2660" i="6"/>
  <c r="BG1526" i="6" s="1"/>
  <c r="BB1526" i="6" s="1"/>
  <c r="BF2661" i="6"/>
  <c r="BF2662" i="6"/>
  <c r="BF2663" i="6"/>
  <c r="BF2664" i="6"/>
  <c r="BF2665" i="6"/>
  <c r="BF2666" i="6"/>
  <c r="BF2667" i="6"/>
  <c r="BF2668" i="6"/>
  <c r="BF2669" i="6"/>
  <c r="BF2670" i="6"/>
  <c r="BF2671" i="6"/>
  <c r="BF2672" i="6"/>
  <c r="BF2673" i="6"/>
  <c r="BF2674" i="6"/>
  <c r="BF2675" i="6"/>
  <c r="BG1527" i="6" s="1"/>
  <c r="BB1527" i="6" s="1"/>
  <c r="BF2676" i="6"/>
  <c r="BF2677" i="6"/>
  <c r="BF2678" i="6"/>
  <c r="BF2679" i="6"/>
  <c r="BF2680" i="6"/>
  <c r="BF2681" i="6"/>
  <c r="BF2682" i="6"/>
  <c r="BF2683" i="6"/>
  <c r="BF2684" i="6"/>
  <c r="BF2685" i="6"/>
  <c r="BF2686" i="6"/>
  <c r="BF2687" i="6"/>
  <c r="BF2688" i="6"/>
  <c r="BF2689" i="6"/>
  <c r="BF2690" i="6"/>
  <c r="BG1528" i="6" s="1"/>
  <c r="BB1528" i="6" s="1"/>
  <c r="BF2691" i="6"/>
  <c r="BF2692" i="6"/>
  <c r="BF2693" i="6"/>
  <c r="BF2694" i="6"/>
  <c r="BF2695" i="6"/>
  <c r="BF2696" i="6"/>
  <c r="BF2697" i="6"/>
  <c r="BF2698" i="6"/>
  <c r="BF2699" i="6"/>
  <c r="BF2700" i="6"/>
  <c r="BF2701" i="6"/>
  <c r="BF2702" i="6"/>
  <c r="BF2703" i="6"/>
  <c r="BF2704" i="6"/>
  <c r="BF2705" i="6"/>
  <c r="BG1529" i="6" s="1"/>
  <c r="BB1529" i="6" s="1"/>
  <c r="BF2706" i="6"/>
  <c r="BF2707" i="6"/>
  <c r="BF2708" i="6"/>
  <c r="BF2709" i="6"/>
  <c r="BF2710" i="6"/>
  <c r="BF2711" i="6"/>
  <c r="BF2712" i="6"/>
  <c r="BF2713" i="6"/>
  <c r="BF2714" i="6"/>
  <c r="BF2715" i="6"/>
  <c r="BF2716" i="6"/>
  <c r="BF2717" i="6"/>
  <c r="BF2718" i="6"/>
  <c r="BF2719" i="6"/>
  <c r="BF2720" i="6"/>
  <c r="BG1530" i="6" s="1"/>
  <c r="BB1530" i="6" s="1"/>
  <c r="BF2721" i="6"/>
  <c r="BF2722" i="6"/>
  <c r="BF2723" i="6"/>
  <c r="BF2724" i="6"/>
  <c r="BF2725" i="6"/>
  <c r="BF2726" i="6"/>
  <c r="BF2727" i="6"/>
  <c r="BF2728" i="6"/>
  <c r="BF2729" i="6"/>
  <c r="BF2730" i="6"/>
  <c r="BF2731" i="6"/>
  <c r="BF2732" i="6"/>
  <c r="BF2733" i="6"/>
  <c r="BF2734" i="6"/>
  <c r="BF2735" i="6"/>
  <c r="BG1531" i="6" s="1"/>
  <c r="BB1531" i="6" s="1"/>
  <c r="BF2736" i="6"/>
  <c r="BF2737" i="6"/>
  <c r="BF2738" i="6"/>
  <c r="BF2739" i="6"/>
  <c r="BF2740" i="6"/>
  <c r="BF2741" i="6"/>
  <c r="BF2742" i="6"/>
  <c r="BF2743" i="6"/>
  <c r="BF2744" i="6"/>
  <c r="BF2745" i="6"/>
  <c r="BF2746" i="6"/>
  <c r="BF2747" i="6"/>
  <c r="BF2748" i="6"/>
  <c r="BF2749" i="6"/>
  <c r="BF2750" i="6"/>
  <c r="BG1532" i="6" s="1"/>
  <c r="BB1532" i="6" s="1"/>
  <c r="BF2751" i="6"/>
  <c r="BF2752" i="6"/>
  <c r="BF2753" i="6"/>
  <c r="BF2754" i="6"/>
  <c r="BF2755" i="6"/>
  <c r="BF2756" i="6"/>
  <c r="BF2757" i="6"/>
  <c r="BF2758" i="6"/>
  <c r="BF2759" i="6"/>
  <c r="BF2760" i="6"/>
  <c r="BF2761" i="6"/>
  <c r="BF2762" i="6"/>
  <c r="BF2763" i="6"/>
  <c r="BF2764" i="6"/>
  <c r="BF2765" i="6"/>
  <c r="BG1533" i="6" s="1"/>
  <c r="BB1533" i="6" s="1"/>
  <c r="BF2766" i="6"/>
  <c r="BF2767" i="6"/>
  <c r="BF2768" i="6"/>
  <c r="BF2769" i="6"/>
  <c r="BF2770" i="6"/>
  <c r="BF2771" i="6"/>
  <c r="BF2772" i="6"/>
  <c r="BF2773" i="6"/>
  <c r="BF2774" i="6"/>
  <c r="BF2775" i="6"/>
  <c r="BF2776" i="6"/>
  <c r="BF2777" i="6"/>
  <c r="BF2778" i="6"/>
  <c r="BF2779" i="6"/>
  <c r="BF2780" i="6"/>
  <c r="BG1534" i="6" s="1"/>
  <c r="BB1534" i="6" s="1"/>
  <c r="BF2781" i="6"/>
  <c r="BF2782" i="6"/>
  <c r="BF2783" i="6"/>
  <c r="BF2784" i="6"/>
  <c r="BF2785" i="6"/>
  <c r="BF2786" i="6"/>
  <c r="BF2787" i="6"/>
  <c r="BF2788" i="6"/>
  <c r="BF2789" i="6"/>
  <c r="BF2790" i="6"/>
  <c r="BF2791" i="6"/>
  <c r="BF2792" i="6"/>
  <c r="BF2793" i="6"/>
  <c r="BF2794" i="6"/>
  <c r="BF2795" i="6"/>
  <c r="BG1535" i="6" s="1"/>
  <c r="BB1535" i="6" s="1"/>
  <c r="BF2796" i="6"/>
  <c r="BF2797" i="6"/>
  <c r="BF2798" i="6"/>
  <c r="BF2799" i="6"/>
  <c r="BF2800" i="6"/>
  <c r="BF2801" i="6"/>
  <c r="BF2802" i="6"/>
  <c r="BF2803" i="6"/>
  <c r="BF2804" i="6"/>
  <c r="BF2805" i="6"/>
  <c r="BF2806" i="6"/>
  <c r="BF2807" i="6"/>
  <c r="BF2808" i="6"/>
  <c r="BF2809" i="6"/>
  <c r="BF2810" i="6"/>
  <c r="BG1536" i="6" s="1"/>
  <c r="BB1536" i="6" s="1"/>
  <c r="BF2811" i="6"/>
  <c r="BF2812" i="6"/>
  <c r="BF2813" i="6"/>
  <c r="BF2814" i="6"/>
  <c r="BF2815" i="6"/>
  <c r="BF2816" i="6"/>
  <c r="BF2817" i="6"/>
  <c r="BF2818" i="6"/>
  <c r="BF2819" i="6"/>
  <c r="BF2820" i="6"/>
  <c r="BF2821" i="6"/>
  <c r="BF2822" i="6"/>
  <c r="BF2823" i="6"/>
  <c r="BF2824" i="6"/>
  <c r="BF2825" i="6"/>
  <c r="BG1537" i="6" s="1"/>
  <c r="BB1537" i="6" s="1"/>
  <c r="BF2826" i="6"/>
  <c r="BF2827" i="6"/>
  <c r="BF2828" i="6"/>
  <c r="BF2829" i="6"/>
  <c r="BF2830" i="6"/>
  <c r="BF2831" i="6"/>
  <c r="BF2832" i="6"/>
  <c r="BF2833" i="6"/>
  <c r="BF2834" i="6"/>
  <c r="BF2835" i="6"/>
  <c r="BF2836" i="6"/>
  <c r="BF2837" i="6"/>
  <c r="BF2838" i="6"/>
  <c r="BF2839" i="6"/>
  <c r="BF2840" i="6"/>
  <c r="BG1538" i="6" s="1"/>
  <c r="BB1538" i="6" s="1"/>
  <c r="BF2841" i="6"/>
  <c r="BF2842" i="6"/>
  <c r="BF2843" i="6"/>
  <c r="BF2844" i="6"/>
  <c r="BF2845" i="6"/>
  <c r="BF2846" i="6"/>
  <c r="BF2847" i="6"/>
  <c r="BF2848" i="6"/>
  <c r="BF2849" i="6"/>
  <c r="BF2850" i="6"/>
  <c r="BF2851" i="6"/>
  <c r="BF2852" i="6"/>
  <c r="BF2853" i="6"/>
  <c r="BF2854" i="6"/>
  <c r="BF2855" i="6"/>
  <c r="BG1539" i="6" s="1"/>
  <c r="BB1539" i="6" s="1"/>
  <c r="BF2856" i="6"/>
  <c r="BF2857" i="6"/>
  <c r="BF2858" i="6"/>
  <c r="BF2859" i="6"/>
  <c r="BF2860" i="6"/>
  <c r="BF2861" i="6"/>
  <c r="BF2862" i="6"/>
  <c r="BF2863" i="6"/>
  <c r="BF2864" i="6"/>
  <c r="BF2865" i="6"/>
  <c r="BF2866" i="6"/>
  <c r="BF2867" i="6"/>
  <c r="BF2868" i="6"/>
  <c r="BF2869" i="6"/>
  <c r="BF2870" i="6"/>
  <c r="BG1540" i="6" s="1"/>
  <c r="BB1540" i="6" s="1"/>
  <c r="BF2871" i="6"/>
  <c r="BF2872" i="6"/>
  <c r="BF2873" i="6"/>
  <c r="BF2874" i="6"/>
  <c r="BF2875" i="6"/>
  <c r="BF2876" i="6"/>
  <c r="BF2877" i="6"/>
  <c r="BF2878" i="6"/>
  <c r="BF2879" i="6"/>
  <c r="BF2880" i="6"/>
  <c r="BF2881" i="6"/>
  <c r="BF2882" i="6"/>
  <c r="BF2883" i="6"/>
  <c r="BF2884" i="6"/>
  <c r="BF1445" i="6"/>
  <c r="BG1542" i="6" s="1"/>
  <c r="BB1446" i="6"/>
  <c r="BB1454" i="6"/>
  <c r="BB1470" i="6"/>
  <c r="AN1" i="6"/>
  <c r="AK4" i="6"/>
  <c r="C15" i="4"/>
  <c r="D15" i="4" s="1"/>
  <c r="E15" i="4" s="1"/>
  <c r="BJ3" i="4"/>
  <c r="BJ4" i="4"/>
  <c r="D3" i="4"/>
  <c r="C5" i="7"/>
  <c r="BE5" i="6"/>
  <c r="AG1" i="6"/>
  <c r="C16" i="5"/>
  <c r="C17" i="5" s="1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5" i="6"/>
  <c r="J4" i="6"/>
  <c r="K4" i="6"/>
  <c r="L4" i="6"/>
  <c r="C4" i="6"/>
  <c r="C5" i="6"/>
  <c r="D4" i="6"/>
  <c r="D5" i="6"/>
  <c r="E4" i="6"/>
  <c r="E5" i="6"/>
  <c r="I5" i="6"/>
  <c r="C23" i="5"/>
  <c r="C36" i="5" s="1"/>
  <c r="C6" i="6"/>
  <c r="D6" i="6"/>
  <c r="E6" i="6"/>
  <c r="I6" i="6"/>
  <c r="C7" i="6"/>
  <c r="D7" i="6"/>
  <c r="E7" i="6"/>
  <c r="I7" i="6"/>
  <c r="C8" i="6"/>
  <c r="D8" i="6"/>
  <c r="E8" i="6"/>
  <c r="I8" i="6"/>
  <c r="C9" i="6"/>
  <c r="D9" i="6"/>
  <c r="E9" i="6"/>
  <c r="I9" i="6"/>
  <c r="C10" i="6"/>
  <c r="D10" i="6"/>
  <c r="E10" i="6"/>
  <c r="I10" i="6"/>
  <c r="C11" i="6"/>
  <c r="D11" i="6"/>
  <c r="E11" i="6"/>
  <c r="I11" i="6"/>
  <c r="C12" i="6"/>
  <c r="D12" i="6"/>
  <c r="E12" i="6"/>
  <c r="I12" i="6"/>
  <c r="C13" i="6"/>
  <c r="D13" i="6"/>
  <c r="E13" i="6"/>
  <c r="I13" i="6"/>
  <c r="C14" i="6"/>
  <c r="D14" i="6"/>
  <c r="E14" i="6"/>
  <c r="I14" i="6"/>
  <c r="C15" i="6"/>
  <c r="D15" i="6"/>
  <c r="E15" i="6"/>
  <c r="I15" i="6"/>
  <c r="C16" i="6"/>
  <c r="D16" i="6"/>
  <c r="E16" i="6"/>
  <c r="I16" i="6"/>
  <c r="C17" i="6"/>
  <c r="D17" i="6"/>
  <c r="E17" i="6"/>
  <c r="I17" i="6"/>
  <c r="C18" i="6"/>
  <c r="D18" i="6"/>
  <c r="E18" i="6"/>
  <c r="I18" i="6"/>
  <c r="C19" i="6"/>
  <c r="D19" i="6"/>
  <c r="E19" i="6"/>
  <c r="I19" i="6"/>
  <c r="C20" i="6"/>
  <c r="D20" i="6"/>
  <c r="E20" i="6"/>
  <c r="I20" i="6"/>
  <c r="C21" i="6"/>
  <c r="D21" i="6"/>
  <c r="E21" i="6"/>
  <c r="I21" i="6"/>
  <c r="C22" i="6"/>
  <c r="D22" i="6"/>
  <c r="E22" i="6"/>
  <c r="I22" i="6"/>
  <c r="C23" i="6"/>
  <c r="D23" i="6"/>
  <c r="E23" i="6"/>
  <c r="I23" i="6"/>
  <c r="C24" i="6"/>
  <c r="D24" i="6"/>
  <c r="E24" i="6"/>
  <c r="I24" i="6"/>
  <c r="C25" i="6"/>
  <c r="D25" i="6"/>
  <c r="E25" i="6"/>
  <c r="I25" i="6"/>
  <c r="C26" i="6"/>
  <c r="D26" i="6"/>
  <c r="E26" i="6"/>
  <c r="I26" i="6"/>
  <c r="C27" i="6"/>
  <c r="D27" i="6"/>
  <c r="E27" i="6"/>
  <c r="I27" i="6"/>
  <c r="C28" i="6"/>
  <c r="D28" i="6"/>
  <c r="E28" i="6"/>
  <c r="I28" i="6"/>
  <c r="C29" i="6"/>
  <c r="D29" i="6"/>
  <c r="E29" i="6"/>
  <c r="I29" i="6"/>
  <c r="C30" i="6"/>
  <c r="D30" i="6"/>
  <c r="E30" i="6"/>
  <c r="I30" i="6"/>
  <c r="C31" i="6"/>
  <c r="D31" i="6"/>
  <c r="E31" i="6"/>
  <c r="I31" i="6"/>
  <c r="C32" i="6"/>
  <c r="D32" i="6"/>
  <c r="E32" i="6"/>
  <c r="I32" i="6"/>
  <c r="C33" i="6"/>
  <c r="D33" i="6"/>
  <c r="E33" i="6"/>
  <c r="I33" i="6"/>
  <c r="C34" i="6"/>
  <c r="D34" i="6"/>
  <c r="E34" i="6"/>
  <c r="I34" i="6"/>
  <c r="C35" i="6"/>
  <c r="D35" i="6"/>
  <c r="E35" i="6"/>
  <c r="I35" i="6"/>
  <c r="C36" i="6"/>
  <c r="D36" i="6"/>
  <c r="E36" i="6"/>
  <c r="I36" i="6"/>
  <c r="C37" i="6"/>
  <c r="D37" i="6"/>
  <c r="E37" i="6"/>
  <c r="I37" i="6"/>
  <c r="C38" i="6"/>
  <c r="D38" i="6"/>
  <c r="E38" i="6"/>
  <c r="I38" i="6"/>
  <c r="C39" i="6"/>
  <c r="D39" i="6"/>
  <c r="E39" i="6"/>
  <c r="I39" i="6"/>
  <c r="C40" i="6"/>
  <c r="D40" i="6"/>
  <c r="E40" i="6"/>
  <c r="I40" i="6"/>
  <c r="C41" i="6"/>
  <c r="D41" i="6"/>
  <c r="E41" i="6"/>
  <c r="I41" i="6"/>
  <c r="C42" i="6"/>
  <c r="D42" i="6"/>
  <c r="E42" i="6"/>
  <c r="I42" i="6"/>
  <c r="C43" i="6"/>
  <c r="D43" i="6"/>
  <c r="E43" i="6"/>
  <c r="I43" i="6"/>
  <c r="C44" i="6"/>
  <c r="D44" i="6"/>
  <c r="E44" i="6"/>
  <c r="I44" i="6"/>
  <c r="C45" i="6"/>
  <c r="D45" i="6"/>
  <c r="E45" i="6"/>
  <c r="I45" i="6"/>
  <c r="C46" i="6"/>
  <c r="D46" i="6"/>
  <c r="E46" i="6"/>
  <c r="I46" i="6"/>
  <c r="C47" i="6"/>
  <c r="D47" i="6"/>
  <c r="E47" i="6"/>
  <c r="I47" i="6"/>
  <c r="C48" i="6"/>
  <c r="D48" i="6"/>
  <c r="E48" i="6"/>
  <c r="I48" i="6"/>
  <c r="C49" i="6"/>
  <c r="D49" i="6"/>
  <c r="E49" i="6"/>
  <c r="I49" i="6"/>
  <c r="C50" i="6"/>
  <c r="D50" i="6"/>
  <c r="E50" i="6"/>
  <c r="I50" i="6"/>
  <c r="C51" i="6"/>
  <c r="D51" i="6"/>
  <c r="E51" i="6"/>
  <c r="I51" i="6"/>
  <c r="C52" i="6"/>
  <c r="D52" i="6"/>
  <c r="E52" i="6"/>
  <c r="I52" i="6"/>
  <c r="C53" i="6"/>
  <c r="D53" i="6"/>
  <c r="E53" i="6"/>
  <c r="I53" i="6"/>
  <c r="C54" i="6"/>
  <c r="D54" i="6"/>
  <c r="E54" i="6"/>
  <c r="I54" i="6"/>
  <c r="C55" i="6"/>
  <c r="D55" i="6"/>
  <c r="E55" i="6"/>
  <c r="I55" i="6"/>
  <c r="C56" i="6"/>
  <c r="D56" i="6"/>
  <c r="E56" i="6"/>
  <c r="I56" i="6"/>
  <c r="C57" i="6"/>
  <c r="D57" i="6"/>
  <c r="E57" i="6"/>
  <c r="I57" i="6"/>
  <c r="C58" i="6"/>
  <c r="D58" i="6"/>
  <c r="E58" i="6"/>
  <c r="I58" i="6"/>
  <c r="C59" i="6"/>
  <c r="D59" i="6"/>
  <c r="E59" i="6"/>
  <c r="I59" i="6"/>
  <c r="C60" i="6"/>
  <c r="D60" i="6"/>
  <c r="E60" i="6"/>
  <c r="I60" i="6"/>
  <c r="C61" i="6"/>
  <c r="D61" i="6"/>
  <c r="E61" i="6"/>
  <c r="I61" i="6"/>
  <c r="C62" i="6"/>
  <c r="D62" i="6"/>
  <c r="E62" i="6"/>
  <c r="I62" i="6"/>
  <c r="C63" i="6"/>
  <c r="D63" i="6"/>
  <c r="E63" i="6"/>
  <c r="I63" i="6"/>
  <c r="C64" i="6"/>
  <c r="D64" i="6"/>
  <c r="E64" i="6"/>
  <c r="I64" i="6"/>
  <c r="C65" i="6"/>
  <c r="D65" i="6"/>
  <c r="E65" i="6"/>
  <c r="I65" i="6"/>
  <c r="I4" i="6"/>
  <c r="B4" i="6"/>
  <c r="AG2" i="6" s="1"/>
  <c r="A4" i="6"/>
  <c r="BA4" i="6" s="1"/>
  <c r="BA5" i="6" s="1"/>
  <c r="BB5" i="6" s="1"/>
  <c r="BC5" i="6"/>
  <c r="A34" i="6"/>
  <c r="F34" i="6"/>
  <c r="G34" i="6"/>
  <c r="H34" i="6"/>
  <c r="M34" i="6"/>
  <c r="A35" i="6"/>
  <c r="F35" i="6"/>
  <c r="G35" i="6"/>
  <c r="H35" i="6"/>
  <c r="M35" i="6"/>
  <c r="A36" i="6"/>
  <c r="F36" i="6"/>
  <c r="G36" i="6"/>
  <c r="H36" i="6"/>
  <c r="M36" i="6"/>
  <c r="A37" i="6"/>
  <c r="F37" i="6"/>
  <c r="G37" i="6"/>
  <c r="H37" i="6"/>
  <c r="M37" i="6"/>
  <c r="A38" i="6"/>
  <c r="F38" i="6"/>
  <c r="G38" i="6"/>
  <c r="H38" i="6"/>
  <c r="M38" i="6"/>
  <c r="A39" i="6"/>
  <c r="F39" i="6"/>
  <c r="G39" i="6"/>
  <c r="H39" i="6"/>
  <c r="M39" i="6"/>
  <c r="A40" i="6"/>
  <c r="F40" i="6"/>
  <c r="G40" i="6"/>
  <c r="H40" i="6"/>
  <c r="M40" i="6"/>
  <c r="A41" i="6"/>
  <c r="F41" i="6"/>
  <c r="G41" i="6"/>
  <c r="H41" i="6"/>
  <c r="M41" i="6"/>
  <c r="A42" i="6"/>
  <c r="F42" i="6"/>
  <c r="G42" i="6"/>
  <c r="H42" i="6"/>
  <c r="M42" i="6"/>
  <c r="A43" i="6"/>
  <c r="F43" i="6"/>
  <c r="G43" i="6"/>
  <c r="H43" i="6"/>
  <c r="M43" i="6"/>
  <c r="A44" i="6"/>
  <c r="F44" i="6"/>
  <c r="G44" i="6"/>
  <c r="H44" i="6"/>
  <c r="M44" i="6"/>
  <c r="A45" i="6"/>
  <c r="F45" i="6"/>
  <c r="G45" i="6"/>
  <c r="H45" i="6"/>
  <c r="M45" i="6"/>
  <c r="A46" i="6"/>
  <c r="F46" i="6"/>
  <c r="G46" i="6"/>
  <c r="H46" i="6"/>
  <c r="M46" i="6"/>
  <c r="A47" i="6"/>
  <c r="F47" i="6"/>
  <c r="G47" i="6"/>
  <c r="H47" i="6"/>
  <c r="M47" i="6"/>
  <c r="A48" i="6"/>
  <c r="F48" i="6"/>
  <c r="G48" i="6"/>
  <c r="H48" i="6"/>
  <c r="M48" i="6"/>
  <c r="A49" i="6"/>
  <c r="F49" i="6"/>
  <c r="G49" i="6"/>
  <c r="H49" i="6"/>
  <c r="M49" i="6"/>
  <c r="A50" i="6"/>
  <c r="F50" i="6"/>
  <c r="G50" i="6"/>
  <c r="H50" i="6"/>
  <c r="M50" i="6"/>
  <c r="A51" i="6"/>
  <c r="F51" i="6"/>
  <c r="G51" i="6"/>
  <c r="H51" i="6"/>
  <c r="M51" i="6"/>
  <c r="A52" i="6"/>
  <c r="F52" i="6"/>
  <c r="G52" i="6"/>
  <c r="H52" i="6"/>
  <c r="M52" i="6"/>
  <c r="A53" i="6"/>
  <c r="F53" i="6"/>
  <c r="G53" i="6"/>
  <c r="H53" i="6"/>
  <c r="M53" i="6"/>
  <c r="A54" i="6"/>
  <c r="F54" i="6"/>
  <c r="G54" i="6"/>
  <c r="H54" i="6"/>
  <c r="M54" i="6"/>
  <c r="A55" i="6"/>
  <c r="F55" i="6"/>
  <c r="G55" i="6"/>
  <c r="H55" i="6"/>
  <c r="M55" i="6"/>
  <c r="A56" i="6"/>
  <c r="F56" i="6"/>
  <c r="G56" i="6"/>
  <c r="H56" i="6"/>
  <c r="M56" i="6"/>
  <c r="A57" i="6"/>
  <c r="F57" i="6"/>
  <c r="G57" i="6"/>
  <c r="H57" i="6"/>
  <c r="M57" i="6"/>
  <c r="A58" i="6"/>
  <c r="F58" i="6"/>
  <c r="G58" i="6"/>
  <c r="H58" i="6"/>
  <c r="M58" i="6"/>
  <c r="A59" i="6"/>
  <c r="F59" i="6"/>
  <c r="G59" i="6"/>
  <c r="H59" i="6"/>
  <c r="M59" i="6"/>
  <c r="A60" i="6"/>
  <c r="F60" i="6"/>
  <c r="G60" i="6"/>
  <c r="H60" i="6"/>
  <c r="M60" i="6"/>
  <c r="A61" i="6"/>
  <c r="F61" i="6"/>
  <c r="G61" i="6"/>
  <c r="H61" i="6"/>
  <c r="M61" i="6"/>
  <c r="A62" i="6"/>
  <c r="F62" i="6"/>
  <c r="G62" i="6"/>
  <c r="H62" i="6"/>
  <c r="M62" i="6"/>
  <c r="A63" i="6"/>
  <c r="F63" i="6"/>
  <c r="G63" i="6"/>
  <c r="H63" i="6"/>
  <c r="M63" i="6"/>
  <c r="A64" i="6"/>
  <c r="F64" i="6"/>
  <c r="G64" i="6"/>
  <c r="H64" i="6"/>
  <c r="M64" i="6"/>
  <c r="A65" i="6"/>
  <c r="F65" i="6"/>
  <c r="G65" i="6"/>
  <c r="H65" i="6"/>
  <c r="M65" i="6"/>
  <c r="P46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4" i="6"/>
  <c r="C39" i="5"/>
  <c r="C5" i="5"/>
  <c r="A17" i="6"/>
  <c r="F17" i="6"/>
  <c r="G17" i="6"/>
  <c r="H17" i="6"/>
  <c r="A18" i="6"/>
  <c r="F18" i="6"/>
  <c r="G18" i="6"/>
  <c r="H18" i="6"/>
  <c r="A19" i="6"/>
  <c r="F19" i="6"/>
  <c r="G19" i="6"/>
  <c r="H19" i="6"/>
  <c r="A20" i="6"/>
  <c r="F20" i="6"/>
  <c r="G20" i="6"/>
  <c r="H20" i="6"/>
  <c r="A21" i="6"/>
  <c r="F21" i="6"/>
  <c r="G21" i="6"/>
  <c r="H21" i="6"/>
  <c r="A22" i="6"/>
  <c r="F22" i="6"/>
  <c r="G22" i="6"/>
  <c r="H22" i="6"/>
  <c r="A23" i="6"/>
  <c r="F23" i="6"/>
  <c r="G23" i="6"/>
  <c r="H23" i="6"/>
  <c r="A24" i="6"/>
  <c r="F24" i="6"/>
  <c r="G24" i="6"/>
  <c r="H24" i="6"/>
  <c r="A25" i="6"/>
  <c r="F25" i="6"/>
  <c r="G25" i="6"/>
  <c r="H25" i="6"/>
  <c r="A26" i="6"/>
  <c r="F26" i="6"/>
  <c r="G26" i="6"/>
  <c r="H26" i="6"/>
  <c r="A27" i="6"/>
  <c r="F27" i="6"/>
  <c r="G27" i="6"/>
  <c r="H27" i="6"/>
  <c r="A28" i="6"/>
  <c r="F28" i="6"/>
  <c r="G28" i="6"/>
  <c r="H28" i="6"/>
  <c r="A29" i="6"/>
  <c r="F29" i="6"/>
  <c r="G29" i="6"/>
  <c r="H29" i="6"/>
  <c r="A30" i="6"/>
  <c r="F30" i="6"/>
  <c r="G30" i="6"/>
  <c r="H30" i="6"/>
  <c r="A31" i="6"/>
  <c r="F31" i="6"/>
  <c r="G31" i="6"/>
  <c r="H31" i="6"/>
  <c r="A32" i="6"/>
  <c r="F32" i="6"/>
  <c r="G32" i="6"/>
  <c r="H32" i="6"/>
  <c r="A33" i="6"/>
  <c r="F33" i="6"/>
  <c r="G33" i="6"/>
  <c r="H33" i="6"/>
  <c r="C25" i="5"/>
  <c r="D6" i="4" s="1"/>
  <c r="C43" i="5"/>
  <c r="C24" i="5"/>
  <c r="C31" i="5"/>
  <c r="C30" i="5"/>
  <c r="C29" i="5"/>
  <c r="C18" i="5"/>
  <c r="C14" i="5"/>
  <c r="C13" i="5"/>
  <c r="C12" i="5"/>
  <c r="D4" i="4" s="1"/>
  <c r="C26" i="5"/>
  <c r="A5" i="6"/>
  <c r="A6" i="6"/>
  <c r="A7" i="6"/>
  <c r="BC4" i="6" s="1"/>
  <c r="A8" i="6"/>
  <c r="A9" i="6"/>
  <c r="A10" i="6"/>
  <c r="A11" i="6"/>
  <c r="A12" i="6"/>
  <c r="A13" i="6"/>
  <c r="A14" i="6"/>
  <c r="A15" i="6"/>
  <c r="A16" i="6"/>
  <c r="C6" i="5"/>
  <c r="F4" i="6"/>
  <c r="G4" i="6"/>
  <c r="H4" i="6"/>
  <c r="F5" i="6"/>
  <c r="G5" i="6"/>
  <c r="H5" i="6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C27" i="5"/>
  <c r="P19" i="6"/>
  <c r="D5" i="7"/>
  <c r="D7" i="4" l="1"/>
  <c r="D7" i="8"/>
  <c r="E16" i="8"/>
  <c r="F15" i="8"/>
  <c r="P4" i="6"/>
  <c r="P56" i="6"/>
  <c r="P48" i="6"/>
  <c r="B5" i="6"/>
  <c r="P27" i="6"/>
  <c r="AK2" i="6"/>
  <c r="AV4" i="6" s="1"/>
  <c r="O13" i="6"/>
  <c r="T13" i="6" s="1"/>
  <c r="P60" i="6"/>
  <c r="P52" i="6"/>
  <c r="P44" i="6"/>
  <c r="P36" i="6"/>
  <c r="P28" i="6"/>
  <c r="P20" i="6"/>
  <c r="P5" i="6"/>
  <c r="P50" i="6"/>
  <c r="P42" i="6"/>
  <c r="P34" i="6"/>
  <c r="P10" i="6"/>
  <c r="BB4" i="6"/>
  <c r="B11" i="8" s="1"/>
  <c r="AG3" i="6"/>
  <c r="P63" i="6"/>
  <c r="P55" i="6"/>
  <c r="P47" i="6"/>
  <c r="P39" i="6"/>
  <c r="P31" i="6"/>
  <c r="P23" i="6"/>
  <c r="P15" i="6"/>
  <c r="P7" i="6"/>
  <c r="O44" i="6"/>
  <c r="T44" i="6" s="1"/>
  <c r="P12" i="6"/>
  <c r="O24" i="6"/>
  <c r="T24" i="6" s="1"/>
  <c r="O9" i="6"/>
  <c r="Q9" i="6" s="1"/>
  <c r="X9" i="6" s="1"/>
  <c r="P64" i="6"/>
  <c r="P40" i="6"/>
  <c r="P32" i="6"/>
  <c r="P24" i="6"/>
  <c r="P16" i="6"/>
  <c r="AH3" i="6"/>
  <c r="AM4" i="6" s="1"/>
  <c r="P54" i="6"/>
  <c r="P38" i="6"/>
  <c r="P14" i="6"/>
  <c r="P6" i="6"/>
  <c r="O40" i="6"/>
  <c r="T40" i="6" s="1"/>
  <c r="P49" i="6"/>
  <c r="P41" i="6"/>
  <c r="P33" i="6"/>
  <c r="P25" i="6"/>
  <c r="P17" i="6"/>
  <c r="P9" i="6"/>
  <c r="BD4" i="6"/>
  <c r="O8" i="6"/>
  <c r="T8" i="6" s="1"/>
  <c r="P59" i="6"/>
  <c r="P51" i="6"/>
  <c r="P43" i="6"/>
  <c r="P35" i="6"/>
  <c r="P11" i="6"/>
  <c r="P8" i="6"/>
  <c r="P53" i="6"/>
  <c r="P45" i="6"/>
  <c r="P37" i="6"/>
  <c r="P29" i="6"/>
  <c r="P21" i="6"/>
  <c r="P13" i="6"/>
  <c r="O6" i="6"/>
  <c r="T6" i="6" s="1"/>
  <c r="O28" i="6"/>
  <c r="T28" i="6" s="1"/>
  <c r="AM1" i="6"/>
  <c r="AK5" i="6"/>
  <c r="AT1" i="6"/>
  <c r="B6" i="6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G4" i="6"/>
  <c r="BF4" i="6" s="1"/>
  <c r="BD1445" i="6" s="1"/>
  <c r="Q4" i="6"/>
  <c r="X4" i="6" s="1"/>
  <c r="Y4" i="6" s="1"/>
  <c r="I2" i="6"/>
  <c r="AO1" i="6" s="1"/>
  <c r="O62" i="6"/>
  <c r="Q62" i="6" s="1"/>
  <c r="X62" i="6" s="1"/>
  <c r="O58" i="6"/>
  <c r="T58" i="6" s="1"/>
  <c r="O54" i="6"/>
  <c r="T54" i="6" s="1"/>
  <c r="O32" i="6"/>
  <c r="T32" i="6" s="1"/>
  <c r="BE6" i="6"/>
  <c r="BG5" i="6"/>
  <c r="BF5" i="6" s="1"/>
  <c r="O20" i="6"/>
  <c r="T20" i="6" s="1"/>
  <c r="AV5" i="6"/>
  <c r="AM2" i="6"/>
  <c r="AX5" i="6"/>
  <c r="BD5" i="6"/>
  <c r="O36" i="6"/>
  <c r="T36" i="6" s="1"/>
  <c r="P62" i="6"/>
  <c r="P58" i="6"/>
  <c r="AX4" i="6"/>
  <c r="O50" i="6"/>
  <c r="T50" i="6" s="1"/>
  <c r="O16" i="6"/>
  <c r="T16" i="6" s="1"/>
  <c r="C37" i="5"/>
  <c r="C38" i="5"/>
  <c r="P65" i="6"/>
  <c r="P61" i="6"/>
  <c r="P57" i="6"/>
  <c r="P30" i="6"/>
  <c r="P26" i="6"/>
  <c r="P22" i="6"/>
  <c r="P18" i="6"/>
  <c r="O46" i="6"/>
  <c r="T46" i="6" s="1"/>
  <c r="C6" i="7"/>
  <c r="A1" i="6"/>
  <c r="O11" i="6"/>
  <c r="T11" i="6" s="1"/>
  <c r="AP1" i="6"/>
  <c r="O60" i="6"/>
  <c r="T60" i="6" s="1"/>
  <c r="O52" i="6"/>
  <c r="T52" i="6" s="1"/>
  <c r="O41" i="6"/>
  <c r="T41" i="6" s="1"/>
  <c r="O37" i="6"/>
  <c r="Q37" i="6" s="1"/>
  <c r="X37" i="6" s="1"/>
  <c r="O33" i="6"/>
  <c r="T33" i="6" s="1"/>
  <c r="O29" i="6"/>
  <c r="T29" i="6" s="1"/>
  <c r="O25" i="6"/>
  <c r="T25" i="6" s="1"/>
  <c r="O21" i="6"/>
  <c r="T21" i="6" s="1"/>
  <c r="O17" i="6"/>
  <c r="Q17" i="6" s="1"/>
  <c r="X17" i="6" s="1"/>
  <c r="O14" i="6"/>
  <c r="T14" i="6" s="1"/>
  <c r="O10" i="6"/>
  <c r="T10" i="6" s="1"/>
  <c r="AY5" i="6"/>
  <c r="AY4" i="6"/>
  <c r="AW4" i="6"/>
  <c r="O65" i="6"/>
  <c r="T65" i="6" s="1"/>
  <c r="O64" i="6"/>
  <c r="T64" i="6" s="1"/>
  <c r="O56" i="6"/>
  <c r="T56" i="6" s="1"/>
  <c r="O48" i="6"/>
  <c r="T48" i="6" s="1"/>
  <c r="O43" i="6"/>
  <c r="T43" i="6" s="1"/>
  <c r="O42" i="6"/>
  <c r="T42" i="6" s="1"/>
  <c r="O39" i="6"/>
  <c r="Q39" i="6" s="1"/>
  <c r="X39" i="6" s="1"/>
  <c r="O38" i="6"/>
  <c r="T38" i="6" s="1"/>
  <c r="O35" i="6"/>
  <c r="Q35" i="6" s="1"/>
  <c r="X35" i="6" s="1"/>
  <c r="O34" i="6"/>
  <c r="T34" i="6" s="1"/>
  <c r="O31" i="6"/>
  <c r="Q31" i="6" s="1"/>
  <c r="X31" i="6" s="1"/>
  <c r="O30" i="6"/>
  <c r="T30" i="6" s="1"/>
  <c r="O27" i="6"/>
  <c r="Q27" i="6" s="1"/>
  <c r="X27" i="6" s="1"/>
  <c r="O26" i="6"/>
  <c r="T26" i="6" s="1"/>
  <c r="O23" i="6"/>
  <c r="Q23" i="6" s="1"/>
  <c r="X23" i="6" s="1"/>
  <c r="O22" i="6"/>
  <c r="T22" i="6" s="1"/>
  <c r="O19" i="6"/>
  <c r="Q19" i="6" s="1"/>
  <c r="X19" i="6" s="1"/>
  <c r="O18" i="6"/>
  <c r="T18" i="6" s="1"/>
  <c r="O15" i="6"/>
  <c r="T15" i="6" s="1"/>
  <c r="O12" i="6"/>
  <c r="T12" i="6" s="1"/>
  <c r="O7" i="6"/>
  <c r="O5" i="6"/>
  <c r="AY1" i="6"/>
  <c r="AW1" i="6"/>
  <c r="D6" i="7"/>
  <c r="E5" i="7"/>
  <c r="O61" i="6"/>
  <c r="O57" i="6"/>
  <c r="O53" i="6"/>
  <c r="O49" i="6"/>
  <c r="O45" i="6"/>
  <c r="E16" i="4"/>
  <c r="F15" i="4"/>
  <c r="O63" i="6"/>
  <c r="O59" i="6"/>
  <c r="O55" i="6"/>
  <c r="O51" i="6"/>
  <c r="O47" i="6"/>
  <c r="T31" i="6"/>
  <c r="Q40" i="6"/>
  <c r="X40" i="6" s="1"/>
  <c r="Q32" i="6"/>
  <c r="X32" i="6" s="1"/>
  <c r="Q8" i="6"/>
  <c r="X8" i="6" s="1"/>
  <c r="BG1549" i="6"/>
  <c r="BG1547" i="6"/>
  <c r="BG1545" i="6"/>
  <c r="BG1543" i="6"/>
  <c r="BG1541" i="6"/>
  <c r="BG1445" i="6"/>
  <c r="BB1445" i="6" s="1"/>
  <c r="B6" i="7" s="1"/>
  <c r="BG1548" i="6"/>
  <c r="BG1546" i="6"/>
  <c r="BG1544" i="6"/>
  <c r="G15" i="8" l="1"/>
  <c r="F16" i="8"/>
  <c r="AT4" i="6"/>
  <c r="AU4" i="6" s="1"/>
  <c r="Q24" i="6"/>
  <c r="X24" i="6" s="1"/>
  <c r="Q36" i="6"/>
  <c r="X36" i="6" s="1"/>
  <c r="Q29" i="6"/>
  <c r="X29" i="6" s="1"/>
  <c r="B11" i="4"/>
  <c r="T39" i="6"/>
  <c r="Q13" i="6"/>
  <c r="X13" i="6" s="1"/>
  <c r="Q46" i="6"/>
  <c r="X46" i="6" s="1"/>
  <c r="Q15" i="6"/>
  <c r="X15" i="6" s="1"/>
  <c r="Q21" i="6"/>
  <c r="X21" i="6" s="1"/>
  <c r="T9" i="6"/>
  <c r="AW5" i="6"/>
  <c r="Q18" i="6"/>
  <c r="X18" i="6" s="1"/>
  <c r="T17" i="6"/>
  <c r="T19" i="6"/>
  <c r="Q65" i="6"/>
  <c r="X65" i="6" s="1"/>
  <c r="Q60" i="6"/>
  <c r="X60" i="6" s="1"/>
  <c r="T23" i="6"/>
  <c r="Q16" i="6"/>
  <c r="X16" i="6" s="1"/>
  <c r="T62" i="6"/>
  <c r="Q43" i="6"/>
  <c r="X43" i="6" s="1"/>
  <c r="Q50" i="6"/>
  <c r="X50" i="6" s="1"/>
  <c r="Q44" i="6"/>
  <c r="X44" i="6" s="1"/>
  <c r="Q22" i="6"/>
  <c r="X22" i="6" s="1"/>
  <c r="Q42" i="6"/>
  <c r="X42" i="6" s="1"/>
  <c r="Q26" i="6"/>
  <c r="X26" i="6" s="1"/>
  <c r="Q11" i="6"/>
  <c r="X11" i="6" s="1"/>
  <c r="Q28" i="6"/>
  <c r="X28" i="6" s="1"/>
  <c r="T27" i="6"/>
  <c r="AX1" i="6"/>
  <c r="AR5" i="6" s="1"/>
  <c r="Q38" i="6"/>
  <c r="X38" i="6" s="1"/>
  <c r="Q33" i="6"/>
  <c r="X33" i="6" s="1"/>
  <c r="AN4" i="6"/>
  <c r="AL4" i="6"/>
  <c r="AO4" i="6" s="1"/>
  <c r="Q6" i="6"/>
  <c r="X6" i="6" s="1"/>
  <c r="T37" i="6"/>
  <c r="Q34" i="6"/>
  <c r="X34" i="6" s="1"/>
  <c r="Q48" i="6"/>
  <c r="X48" i="6" s="1"/>
  <c r="Q64" i="6"/>
  <c r="X64" i="6" s="1"/>
  <c r="T35" i="6"/>
  <c r="Q54" i="6"/>
  <c r="X54" i="6" s="1"/>
  <c r="Q14" i="6"/>
  <c r="X14" i="6" s="1"/>
  <c r="Q12" i="6"/>
  <c r="X12" i="6" s="1"/>
  <c r="Q52" i="6"/>
  <c r="X52" i="6" s="1"/>
  <c r="Q30" i="6"/>
  <c r="X30" i="6" s="1"/>
  <c r="BE1445" i="6"/>
  <c r="R12" i="6"/>
  <c r="S12" i="6" s="1"/>
  <c r="R33" i="6"/>
  <c r="S33" i="6" s="1"/>
  <c r="R55" i="6"/>
  <c r="S55" i="6" s="1"/>
  <c r="R18" i="6"/>
  <c r="S18" i="6" s="1"/>
  <c r="R40" i="6"/>
  <c r="S40" i="6" s="1"/>
  <c r="R62" i="6"/>
  <c r="S62" i="6" s="1"/>
  <c r="R22" i="6"/>
  <c r="S22" i="6" s="1"/>
  <c r="R44" i="6"/>
  <c r="S44" i="6" s="1"/>
  <c r="R8" i="6"/>
  <c r="S8" i="6" s="1"/>
  <c r="R29" i="6"/>
  <c r="S29" i="6" s="1"/>
  <c r="R50" i="6"/>
  <c r="S50" i="6" s="1"/>
  <c r="R60" i="6"/>
  <c r="S60" i="6" s="1"/>
  <c r="R43" i="6"/>
  <c r="S43" i="6" s="1"/>
  <c r="R27" i="6"/>
  <c r="S27" i="6" s="1"/>
  <c r="R11" i="6"/>
  <c r="S11" i="6" s="1"/>
  <c r="R49" i="6"/>
  <c r="S49" i="6" s="1"/>
  <c r="R24" i="6"/>
  <c r="S24" i="6" s="1"/>
  <c r="R32" i="6"/>
  <c r="S32" i="6" s="1"/>
  <c r="R52" i="6"/>
  <c r="S52" i="6" s="1"/>
  <c r="R30" i="6"/>
  <c r="S30" i="6" s="1"/>
  <c r="R9" i="6"/>
  <c r="S9" i="6" s="1"/>
  <c r="R6" i="6"/>
  <c r="S6" i="6" s="1"/>
  <c r="R53" i="6"/>
  <c r="S53" i="6" s="1"/>
  <c r="R10" i="6"/>
  <c r="S10" i="6" s="1"/>
  <c r="R56" i="6"/>
  <c r="S56" i="6" s="1"/>
  <c r="R39" i="6"/>
  <c r="S39" i="6" s="1"/>
  <c r="R23" i="6"/>
  <c r="S23" i="6" s="1"/>
  <c r="R7" i="6"/>
  <c r="S7" i="6" s="1"/>
  <c r="R38" i="6"/>
  <c r="S38" i="6" s="1"/>
  <c r="R57" i="6"/>
  <c r="S57" i="6" s="1"/>
  <c r="R13" i="6"/>
  <c r="S13" i="6" s="1"/>
  <c r="R48" i="6"/>
  <c r="S48" i="6" s="1"/>
  <c r="R26" i="6"/>
  <c r="S26" i="6" s="1"/>
  <c r="R5" i="6"/>
  <c r="S5" i="6" s="1"/>
  <c r="R46" i="6"/>
  <c r="S46" i="6" s="1"/>
  <c r="R25" i="6"/>
  <c r="S25" i="6" s="1"/>
  <c r="R65" i="6"/>
  <c r="S65" i="6" s="1"/>
  <c r="AN5" i="6"/>
  <c r="AT5" i="6"/>
  <c r="AU5" i="6" s="1"/>
  <c r="AK6" i="6"/>
  <c r="AL5" i="6"/>
  <c r="AO5" i="6" s="1"/>
  <c r="AM5" i="6"/>
  <c r="AP5" i="6" s="1"/>
  <c r="R51" i="6"/>
  <c r="S51" i="6" s="1"/>
  <c r="R35" i="6"/>
  <c r="S35" i="6" s="1"/>
  <c r="R19" i="6"/>
  <c r="S19" i="6" s="1"/>
  <c r="R54" i="6"/>
  <c r="S54" i="6" s="1"/>
  <c r="BE7" i="6"/>
  <c r="BG6" i="6"/>
  <c r="BF6" i="6" s="1"/>
  <c r="R28" i="6"/>
  <c r="S28" i="6" s="1"/>
  <c r="R45" i="6"/>
  <c r="S45" i="6" s="1"/>
  <c r="R4" i="6"/>
  <c r="S4" i="6" s="1"/>
  <c r="S1" i="6" s="1"/>
  <c r="R42" i="6"/>
  <c r="S42" i="6" s="1"/>
  <c r="R21" i="6"/>
  <c r="S21" i="6" s="1"/>
  <c r="R63" i="6"/>
  <c r="S63" i="6" s="1"/>
  <c r="R41" i="6"/>
  <c r="S41" i="6" s="1"/>
  <c r="R20" i="6"/>
  <c r="S20" i="6" s="1"/>
  <c r="Q58" i="6"/>
  <c r="X58" i="6" s="1"/>
  <c r="Q10" i="6"/>
  <c r="X10" i="6" s="1"/>
  <c r="Q25" i="6"/>
  <c r="X25" i="6" s="1"/>
  <c r="Q41" i="6"/>
  <c r="X41" i="6" s="1"/>
  <c r="Q56" i="6"/>
  <c r="X56" i="6" s="1"/>
  <c r="Q20" i="6"/>
  <c r="X20" i="6" s="1"/>
  <c r="R64" i="6"/>
  <c r="S64" i="6" s="1"/>
  <c r="R47" i="6"/>
  <c r="S47" i="6" s="1"/>
  <c r="R31" i="6"/>
  <c r="S31" i="6" s="1"/>
  <c r="R15" i="6"/>
  <c r="S15" i="6" s="1"/>
  <c r="R61" i="6"/>
  <c r="S61" i="6" s="1"/>
  <c r="R17" i="6"/>
  <c r="S17" i="6" s="1"/>
  <c r="R34" i="6"/>
  <c r="S34" i="6" s="1"/>
  <c r="R59" i="6"/>
  <c r="S59" i="6" s="1"/>
  <c r="R37" i="6"/>
  <c r="S37" i="6" s="1"/>
  <c r="R16" i="6"/>
  <c r="S16" i="6" s="1"/>
  <c r="R58" i="6"/>
  <c r="S58" i="6" s="1"/>
  <c r="R36" i="6"/>
  <c r="S36" i="6" s="1"/>
  <c r="R14" i="6"/>
  <c r="S14" i="6" s="1"/>
  <c r="Q5" i="6"/>
  <c r="X5" i="6" s="1"/>
  <c r="Y5" i="6" s="1"/>
  <c r="T5" i="6"/>
  <c r="AP4" i="6"/>
  <c r="T7" i="6"/>
  <c r="Q7" i="6"/>
  <c r="X7" i="6" s="1"/>
  <c r="T47" i="6"/>
  <c r="Q47" i="6"/>
  <c r="X47" i="6" s="1"/>
  <c r="T55" i="6"/>
  <c r="Q55" i="6"/>
  <c r="X55" i="6" s="1"/>
  <c r="T63" i="6"/>
  <c r="Q63" i="6"/>
  <c r="X63" i="6" s="1"/>
  <c r="T45" i="6"/>
  <c r="Q45" i="6"/>
  <c r="X45" i="6" s="1"/>
  <c r="T53" i="6"/>
  <c r="Q53" i="6"/>
  <c r="X53" i="6" s="1"/>
  <c r="T61" i="6"/>
  <c r="Q61" i="6"/>
  <c r="X61" i="6" s="1"/>
  <c r="AQ4" i="6"/>
  <c r="AQ5" i="6"/>
  <c r="AQ6" i="6"/>
  <c r="T51" i="6"/>
  <c r="Q51" i="6"/>
  <c r="X51" i="6" s="1"/>
  <c r="T59" i="6"/>
  <c r="Q59" i="6"/>
  <c r="X59" i="6" s="1"/>
  <c r="F16" i="4"/>
  <c r="G15" i="4"/>
  <c r="T49" i="6"/>
  <c r="Q49" i="6"/>
  <c r="X49" i="6" s="1"/>
  <c r="T57" i="6"/>
  <c r="Q57" i="6"/>
  <c r="X57" i="6" s="1"/>
  <c r="E6" i="7"/>
  <c r="F5" i="7"/>
  <c r="AS4" i="6"/>
  <c r="AS5" i="6"/>
  <c r="AS6" i="6"/>
  <c r="AR6" i="6" l="1"/>
  <c r="B16" i="4"/>
  <c r="B16" i="8"/>
  <c r="Y40" i="6"/>
  <c r="C16" i="4"/>
  <c r="C16" i="8"/>
  <c r="AR4" i="6"/>
  <c r="H15" i="8"/>
  <c r="G16" i="8"/>
  <c r="Y38" i="6"/>
  <c r="Y35" i="6"/>
  <c r="Y21" i="6"/>
  <c r="Y39" i="6"/>
  <c r="U6" i="6"/>
  <c r="U10" i="6"/>
  <c r="Y37" i="6"/>
  <c r="U13" i="6"/>
  <c r="Y28" i="6"/>
  <c r="Y31" i="6"/>
  <c r="Y41" i="6"/>
  <c r="Y48" i="6"/>
  <c r="Y43" i="6"/>
  <c r="Y44" i="6"/>
  <c r="Y19" i="6"/>
  <c r="Y45" i="6"/>
  <c r="Y13" i="6"/>
  <c r="Y24" i="6"/>
  <c r="U38" i="6"/>
  <c r="Y26" i="6"/>
  <c r="Y6" i="6"/>
  <c r="Y42" i="6"/>
  <c r="Y11" i="6"/>
  <c r="Y12" i="6"/>
  <c r="Y8" i="6"/>
  <c r="Y20" i="6"/>
  <c r="Y23" i="6"/>
  <c r="Y9" i="6"/>
  <c r="Y14" i="6"/>
  <c r="U14" i="6"/>
  <c r="U27" i="6"/>
  <c r="Y10" i="6"/>
  <c r="Y18" i="6"/>
  <c r="Y16" i="6"/>
  <c r="Y17" i="6"/>
  <c r="BE8" i="6"/>
  <c r="BG7" i="6"/>
  <c r="BF7" i="6" s="1"/>
  <c r="U11" i="6"/>
  <c r="Y25" i="6"/>
  <c r="U12" i="6"/>
  <c r="U5" i="6"/>
  <c r="Y27" i="6"/>
  <c r="Y22" i="6"/>
  <c r="Y29" i="6"/>
  <c r="Y52" i="6"/>
  <c r="Y36" i="6"/>
  <c r="U4" i="6"/>
  <c r="U7" i="6"/>
  <c r="U8" i="6"/>
  <c r="Y34" i="6"/>
  <c r="Y33" i="6"/>
  <c r="U33" i="6"/>
  <c r="U17" i="6"/>
  <c r="U15" i="6"/>
  <c r="U19" i="6"/>
  <c r="Y32" i="6"/>
  <c r="U9" i="6"/>
  <c r="Y30" i="6"/>
  <c r="AN6" i="6"/>
  <c r="AT6" i="6"/>
  <c r="AU6" i="6" s="1"/>
  <c r="AM6" i="6"/>
  <c r="AP6" i="6" s="1"/>
  <c r="AL6" i="6"/>
  <c r="AO6" i="6" s="1"/>
  <c r="Y59" i="6"/>
  <c r="U50" i="6"/>
  <c r="Y51" i="6"/>
  <c r="Y7" i="6"/>
  <c r="Y15" i="6"/>
  <c r="Y63" i="6"/>
  <c r="U22" i="6"/>
  <c r="Y65" i="6"/>
  <c r="U23" i="6"/>
  <c r="U31" i="6"/>
  <c r="U37" i="6"/>
  <c r="F6" i="7"/>
  <c r="G5" i="7"/>
  <c r="Y60" i="6"/>
  <c r="Y54" i="6"/>
  <c r="U64" i="6"/>
  <c r="U60" i="6"/>
  <c r="U56" i="6"/>
  <c r="U52" i="6"/>
  <c r="U48" i="6"/>
  <c r="U40" i="6"/>
  <c r="Y53" i="6"/>
  <c r="U21" i="6"/>
  <c r="U29" i="6"/>
  <c r="U65" i="6"/>
  <c r="U61" i="6"/>
  <c r="U57" i="6"/>
  <c r="U53" i="6"/>
  <c r="U49" i="6"/>
  <c r="U46" i="6"/>
  <c r="U42" i="6"/>
  <c r="U32" i="6"/>
  <c r="U24" i="6"/>
  <c r="U16" i="6"/>
  <c r="U34" i="6"/>
  <c r="U26" i="6"/>
  <c r="U18" i="6"/>
  <c r="U39" i="6"/>
  <c r="Y58" i="6"/>
  <c r="Y57" i="6"/>
  <c r="Y46" i="6"/>
  <c r="G16" i="4"/>
  <c r="H15" i="4"/>
  <c r="Y62" i="6"/>
  <c r="Y61" i="6"/>
  <c r="U63" i="6"/>
  <c r="U59" i="6"/>
  <c r="U55" i="6"/>
  <c r="U51" i="6"/>
  <c r="U47" i="6"/>
  <c r="U41" i="6"/>
  <c r="Y49" i="6"/>
  <c r="U25" i="6"/>
  <c r="U35" i="6"/>
  <c r="Y64" i="6"/>
  <c r="Y56" i="6"/>
  <c r="Y55" i="6"/>
  <c r="U62" i="6"/>
  <c r="U58" i="6"/>
  <c r="U54" i="6"/>
  <c r="U44" i="6"/>
  <c r="U45" i="6"/>
  <c r="U43" i="6"/>
  <c r="U28" i="6"/>
  <c r="U20" i="6"/>
  <c r="U36" i="6"/>
  <c r="U30" i="6"/>
  <c r="Y50" i="6"/>
  <c r="Y47" i="6"/>
  <c r="I15" i="8" l="1"/>
  <c r="H16" i="8"/>
  <c r="D16" i="4"/>
  <c r="D16" i="8"/>
  <c r="V54" i="6"/>
  <c r="W54" i="6" s="1"/>
  <c r="N54" i="6" s="1"/>
  <c r="BE9" i="6"/>
  <c r="BG8" i="6"/>
  <c r="BF8" i="6" s="1"/>
  <c r="V46" i="6"/>
  <c r="W46" i="6" s="1"/>
  <c r="N46" i="6" s="1"/>
  <c r="V59" i="6"/>
  <c r="W59" i="6" s="1"/>
  <c r="AA59" i="6" s="1"/>
  <c r="V45" i="6"/>
  <c r="W45" i="6" s="1"/>
  <c r="V52" i="6"/>
  <c r="W52" i="6" s="1"/>
  <c r="V65" i="6"/>
  <c r="W65" i="6" s="1"/>
  <c r="V49" i="6"/>
  <c r="W49" i="6" s="1"/>
  <c r="H16" i="4"/>
  <c r="I15" i="4"/>
  <c r="V51" i="6"/>
  <c r="W51" i="6" s="1"/>
  <c r="V50" i="6"/>
  <c r="W50" i="6" s="1"/>
  <c r="Z50" i="6" s="1"/>
  <c r="V48" i="6"/>
  <c r="W48" i="6" s="1"/>
  <c r="V64" i="6"/>
  <c r="W64" i="6" s="1"/>
  <c r="Z64" i="6" s="1"/>
  <c r="V53" i="6"/>
  <c r="W53" i="6" s="1"/>
  <c r="Z53" i="6" s="1"/>
  <c r="V22" i="6"/>
  <c r="W22" i="6" s="1"/>
  <c r="V18" i="6"/>
  <c r="W18" i="6" s="1"/>
  <c r="V14" i="6"/>
  <c r="W14" i="6" s="1"/>
  <c r="V10" i="6"/>
  <c r="W10" i="6" s="1"/>
  <c r="V6" i="6"/>
  <c r="W6" i="6" s="1"/>
  <c r="V44" i="6"/>
  <c r="W44" i="6" s="1"/>
  <c r="V42" i="6"/>
  <c r="W42" i="6" s="1"/>
  <c r="V40" i="6"/>
  <c r="W40" i="6" s="1"/>
  <c r="V38" i="6"/>
  <c r="W38" i="6" s="1"/>
  <c r="V36" i="6"/>
  <c r="W36" i="6" s="1"/>
  <c r="V34" i="6"/>
  <c r="W34" i="6" s="1"/>
  <c r="V32" i="6"/>
  <c r="W32" i="6" s="1"/>
  <c r="V30" i="6"/>
  <c r="W30" i="6" s="1"/>
  <c r="V28" i="6"/>
  <c r="W28" i="6" s="1"/>
  <c r="V26" i="6"/>
  <c r="W26" i="6" s="1"/>
  <c r="V23" i="6"/>
  <c r="W23" i="6" s="1"/>
  <c r="V19" i="6"/>
  <c r="W19" i="6" s="1"/>
  <c r="V15" i="6"/>
  <c r="W15" i="6" s="1"/>
  <c r="V11" i="6"/>
  <c r="W11" i="6" s="1"/>
  <c r="V7" i="6"/>
  <c r="W7" i="6" s="1"/>
  <c r="G6" i="7"/>
  <c r="H5" i="7"/>
  <c r="V63" i="6"/>
  <c r="W63" i="6" s="1"/>
  <c r="V60" i="6"/>
  <c r="W60" i="6" s="1"/>
  <c r="Z60" i="6" s="1"/>
  <c r="V47" i="6"/>
  <c r="W47" i="6" s="1"/>
  <c r="Z47" i="6" s="1"/>
  <c r="V57" i="6"/>
  <c r="W57" i="6" s="1"/>
  <c r="Z49" i="6"/>
  <c r="V58" i="6"/>
  <c r="W58" i="6" s="1"/>
  <c r="V56" i="6"/>
  <c r="W56" i="6" s="1"/>
  <c r="V61" i="6"/>
  <c r="W61" i="6" s="1"/>
  <c r="V24" i="6"/>
  <c r="W24" i="6" s="1"/>
  <c r="V20" i="6"/>
  <c r="W20" i="6" s="1"/>
  <c r="V16" i="6"/>
  <c r="W16" i="6" s="1"/>
  <c r="V12" i="6"/>
  <c r="W12" i="6" s="1"/>
  <c r="V8" i="6"/>
  <c r="W8" i="6" s="1"/>
  <c r="V4" i="6"/>
  <c r="W4" i="6" s="1"/>
  <c r="V43" i="6"/>
  <c r="W43" i="6" s="1"/>
  <c r="V41" i="6"/>
  <c r="W41" i="6" s="1"/>
  <c r="V39" i="6"/>
  <c r="W39" i="6" s="1"/>
  <c r="V37" i="6"/>
  <c r="W37" i="6" s="1"/>
  <c r="V35" i="6"/>
  <c r="W35" i="6" s="1"/>
  <c r="V33" i="6"/>
  <c r="W33" i="6" s="1"/>
  <c r="V31" i="6"/>
  <c r="W31" i="6" s="1"/>
  <c r="V29" i="6"/>
  <c r="W29" i="6" s="1"/>
  <c r="V27" i="6"/>
  <c r="W27" i="6" s="1"/>
  <c r="V25" i="6"/>
  <c r="W25" i="6" s="1"/>
  <c r="V21" i="6"/>
  <c r="W21" i="6" s="1"/>
  <c r="V17" i="6"/>
  <c r="W17" i="6" s="1"/>
  <c r="V13" i="6"/>
  <c r="W13" i="6" s="1"/>
  <c r="V9" i="6"/>
  <c r="W9" i="6" s="1"/>
  <c r="V5" i="6"/>
  <c r="W5" i="6" s="1"/>
  <c r="V55" i="6"/>
  <c r="W55" i="6" s="1"/>
  <c r="V62" i="6"/>
  <c r="W62" i="6" s="1"/>
  <c r="J15" i="8" l="1"/>
  <c r="I16" i="8"/>
  <c r="AA54" i="6"/>
  <c r="Z54" i="6"/>
  <c r="AB54" i="6"/>
  <c r="Z59" i="6"/>
  <c r="AB59" i="6"/>
  <c r="N59" i="6"/>
  <c r="AA46" i="6"/>
  <c r="AB46" i="6"/>
  <c r="BE10" i="6"/>
  <c r="BG9" i="6"/>
  <c r="BF9" i="6" s="1"/>
  <c r="Z46" i="6"/>
  <c r="AA62" i="6"/>
  <c r="N62" i="6"/>
  <c r="AB62" i="6"/>
  <c r="AA9" i="6"/>
  <c r="AB9" i="6"/>
  <c r="N9" i="6"/>
  <c r="Z9" i="6"/>
  <c r="AA17" i="6"/>
  <c r="AB17" i="6"/>
  <c r="N17" i="6"/>
  <c r="Z17" i="6"/>
  <c r="AA25" i="6"/>
  <c r="N25" i="6"/>
  <c r="AB25" i="6"/>
  <c r="Z25" i="6"/>
  <c r="AA29" i="6"/>
  <c r="N29" i="6"/>
  <c r="AB29" i="6"/>
  <c r="Z29" i="6"/>
  <c r="AA33" i="6"/>
  <c r="N33" i="6"/>
  <c r="AB33" i="6"/>
  <c r="Z33" i="6"/>
  <c r="AA37" i="6"/>
  <c r="N37" i="6"/>
  <c r="AB37" i="6"/>
  <c r="Z37" i="6"/>
  <c r="AA41" i="6"/>
  <c r="N41" i="6"/>
  <c r="AB41" i="6"/>
  <c r="Z41" i="6"/>
  <c r="AB4" i="6"/>
  <c r="N4" i="6"/>
  <c r="Z4" i="6"/>
  <c r="N12" i="6"/>
  <c r="AB12" i="6"/>
  <c r="AA12" i="6"/>
  <c r="Z12" i="6"/>
  <c r="N20" i="6"/>
  <c r="AB20" i="6"/>
  <c r="AA20" i="6"/>
  <c r="Z20" i="6"/>
  <c r="AA61" i="6"/>
  <c r="N61" i="6"/>
  <c r="AB61" i="6"/>
  <c r="AA58" i="6"/>
  <c r="N58" i="6"/>
  <c r="AB58" i="6"/>
  <c r="Z62" i="6"/>
  <c r="AA57" i="6"/>
  <c r="N57" i="6"/>
  <c r="AB57" i="6"/>
  <c r="AA60" i="6"/>
  <c r="N60" i="6"/>
  <c r="AB60" i="6"/>
  <c r="AA63" i="6"/>
  <c r="N63" i="6"/>
  <c r="AB63" i="6"/>
  <c r="Z63" i="6"/>
  <c r="AA11" i="6"/>
  <c r="AB11" i="6"/>
  <c r="N11" i="6"/>
  <c r="Z11" i="6"/>
  <c r="N19" i="6"/>
  <c r="AB19" i="6"/>
  <c r="AA19" i="6"/>
  <c r="Z19" i="6"/>
  <c r="AA26" i="6"/>
  <c r="N26" i="6"/>
  <c r="AB26" i="6"/>
  <c r="Z26" i="6"/>
  <c r="AA30" i="6"/>
  <c r="N30" i="6"/>
  <c r="AB30" i="6"/>
  <c r="Z30" i="6"/>
  <c r="AA34" i="6"/>
  <c r="N34" i="6"/>
  <c r="AB34" i="6"/>
  <c r="Z34" i="6"/>
  <c r="AA38" i="6"/>
  <c r="N38" i="6"/>
  <c r="AB38" i="6"/>
  <c r="Z38" i="6"/>
  <c r="AA42" i="6"/>
  <c r="N42" i="6"/>
  <c r="AB42" i="6"/>
  <c r="Z42" i="6"/>
  <c r="N6" i="6"/>
  <c r="AB6" i="6"/>
  <c r="AA6" i="6"/>
  <c r="Z6" i="6"/>
  <c r="N14" i="6"/>
  <c r="AB14" i="6"/>
  <c r="AA14" i="6"/>
  <c r="Z14" i="6"/>
  <c r="AA22" i="6"/>
  <c r="N22" i="6"/>
  <c r="AB22" i="6"/>
  <c r="Z22" i="6"/>
  <c r="AA64" i="6"/>
  <c r="N64" i="6"/>
  <c r="AB64" i="6"/>
  <c r="AA50" i="6"/>
  <c r="N50" i="6"/>
  <c r="AB50" i="6"/>
  <c r="I16" i="4"/>
  <c r="J15" i="4"/>
  <c r="Z61" i="6"/>
  <c r="AA65" i="6"/>
  <c r="N65" i="6"/>
  <c r="AB65" i="6"/>
  <c r="Z65" i="6"/>
  <c r="AA52" i="6"/>
  <c r="N52" i="6"/>
  <c r="AB52" i="6"/>
  <c r="Z52" i="6"/>
  <c r="AA55" i="6"/>
  <c r="N55" i="6"/>
  <c r="AB55" i="6"/>
  <c r="Z5" i="6"/>
  <c r="AB5" i="6"/>
  <c r="N5" i="6"/>
  <c r="AA5" i="6"/>
  <c r="AA13" i="6"/>
  <c r="N13" i="6"/>
  <c r="AB13" i="6"/>
  <c r="Z13" i="6"/>
  <c r="AA21" i="6"/>
  <c r="N21" i="6"/>
  <c r="AB21" i="6"/>
  <c r="Z21" i="6"/>
  <c r="AA27" i="6"/>
  <c r="N27" i="6"/>
  <c r="AB27" i="6"/>
  <c r="Z27" i="6"/>
  <c r="AA31" i="6"/>
  <c r="N31" i="6"/>
  <c r="AB31" i="6"/>
  <c r="Z31" i="6"/>
  <c r="AA35" i="6"/>
  <c r="N35" i="6"/>
  <c r="AB35" i="6"/>
  <c r="Z35" i="6"/>
  <c r="AA39" i="6"/>
  <c r="N39" i="6"/>
  <c r="AB39" i="6"/>
  <c r="Z39" i="6"/>
  <c r="AA43" i="6"/>
  <c r="N43" i="6"/>
  <c r="AB43" i="6"/>
  <c r="Z43" i="6"/>
  <c r="N8" i="6"/>
  <c r="AB8" i="6"/>
  <c r="AA8" i="6"/>
  <c r="Z8" i="6"/>
  <c r="N16" i="6"/>
  <c r="AB16" i="6"/>
  <c r="AA16" i="6"/>
  <c r="Z16" i="6"/>
  <c r="AA24" i="6"/>
  <c r="N24" i="6"/>
  <c r="AB24" i="6"/>
  <c r="Z24" i="6"/>
  <c r="AA56" i="6"/>
  <c r="N56" i="6"/>
  <c r="AB56" i="6"/>
  <c r="Z57" i="6"/>
  <c r="AA47" i="6"/>
  <c r="N47" i="6"/>
  <c r="AB47" i="6"/>
  <c r="Z55" i="6"/>
  <c r="H6" i="7"/>
  <c r="I5" i="7"/>
  <c r="AA7" i="6"/>
  <c r="AB7" i="6"/>
  <c r="N7" i="6"/>
  <c r="Z7" i="6"/>
  <c r="AA15" i="6"/>
  <c r="AB15" i="6"/>
  <c r="N15" i="6"/>
  <c r="Z15" i="6"/>
  <c r="AA23" i="6"/>
  <c r="N23" i="6"/>
  <c r="AB23" i="6"/>
  <c r="Z23" i="6"/>
  <c r="AA28" i="6"/>
  <c r="N28" i="6"/>
  <c r="AB28" i="6"/>
  <c r="Z28" i="6"/>
  <c r="AA32" i="6"/>
  <c r="N32" i="6"/>
  <c r="AB32" i="6"/>
  <c r="Z32" i="6"/>
  <c r="AA36" i="6"/>
  <c r="N36" i="6"/>
  <c r="AB36" i="6"/>
  <c r="Z36" i="6"/>
  <c r="AA40" i="6"/>
  <c r="N40" i="6"/>
  <c r="AB40" i="6"/>
  <c r="Z40" i="6"/>
  <c r="AA44" i="6"/>
  <c r="N44" i="6"/>
  <c r="AB44" i="6"/>
  <c r="Z44" i="6"/>
  <c r="N10" i="6"/>
  <c r="AB10" i="6"/>
  <c r="AA10" i="6"/>
  <c r="Z10" i="6"/>
  <c r="N18" i="6"/>
  <c r="AB18" i="6"/>
  <c r="AA18" i="6"/>
  <c r="Z18" i="6"/>
  <c r="AA53" i="6"/>
  <c r="N53" i="6"/>
  <c r="AB53" i="6"/>
  <c r="AA48" i="6"/>
  <c r="N48" i="6"/>
  <c r="AB48" i="6"/>
  <c r="Z48" i="6"/>
  <c r="Z58" i="6"/>
  <c r="AA51" i="6"/>
  <c r="N51" i="6"/>
  <c r="AB51" i="6"/>
  <c r="Z51" i="6"/>
  <c r="AA49" i="6"/>
  <c r="N49" i="6"/>
  <c r="AB49" i="6"/>
  <c r="Z56" i="6"/>
  <c r="AA45" i="6"/>
  <c r="N45" i="6"/>
  <c r="AB45" i="6"/>
  <c r="Z45" i="6"/>
  <c r="K15" i="8" l="1"/>
  <c r="J16" i="8"/>
  <c r="BE11" i="6"/>
  <c r="BG10" i="6"/>
  <c r="BF10" i="6" s="1"/>
  <c r="I6" i="7"/>
  <c r="J5" i="7"/>
  <c r="AA2" i="6"/>
  <c r="J16" i="4"/>
  <c r="K15" i="4"/>
  <c r="L15" i="8" l="1"/>
  <c r="K16" i="8"/>
  <c r="BE12" i="6"/>
  <c r="BG11" i="6"/>
  <c r="BF11" i="6" s="1"/>
  <c r="K16" i="4"/>
  <c r="L15" i="4"/>
  <c r="J6" i="7"/>
  <c r="K5" i="7"/>
  <c r="M15" i="8" l="1"/>
  <c r="L16" i="8"/>
  <c r="BE13" i="6"/>
  <c r="BG12" i="6"/>
  <c r="BF12" i="6" s="1"/>
  <c r="K6" i="7"/>
  <c r="L5" i="7"/>
  <c r="L16" i="4"/>
  <c r="M15" i="4"/>
  <c r="M16" i="8" l="1"/>
  <c r="N15" i="8"/>
  <c r="BE14" i="6"/>
  <c r="BG13" i="6"/>
  <c r="BF13" i="6" s="1"/>
  <c r="M16" i="4"/>
  <c r="N15" i="4"/>
  <c r="L6" i="7"/>
  <c r="M5" i="7"/>
  <c r="O15" i="8" l="1"/>
  <c r="N16" i="8"/>
  <c r="BE15" i="6"/>
  <c r="BG14" i="6"/>
  <c r="BF14" i="6" s="1"/>
  <c r="M6" i="7"/>
  <c r="N5" i="7"/>
  <c r="N16" i="4"/>
  <c r="O15" i="4"/>
  <c r="P15" i="8" l="1"/>
  <c r="O16" i="8"/>
  <c r="BE16" i="6"/>
  <c r="BG15" i="6"/>
  <c r="BF15" i="6" s="1"/>
  <c r="O16" i="4"/>
  <c r="P15" i="4"/>
  <c r="N6" i="7"/>
  <c r="O5" i="7"/>
  <c r="P16" i="8" l="1"/>
  <c r="Q15" i="8"/>
  <c r="BE17" i="6"/>
  <c r="BG16" i="6"/>
  <c r="BF16" i="6" s="1"/>
  <c r="O6" i="7"/>
  <c r="P5" i="7"/>
  <c r="P16" i="4"/>
  <c r="Q15" i="4"/>
  <c r="Q16" i="8" l="1"/>
  <c r="R15" i="8"/>
  <c r="BE18" i="6"/>
  <c r="BG17" i="6"/>
  <c r="BF17" i="6" s="1"/>
  <c r="Q16" i="4"/>
  <c r="R15" i="4"/>
  <c r="P6" i="7"/>
  <c r="Q5" i="7"/>
  <c r="S15" i="8" l="1"/>
  <c r="R16" i="8"/>
  <c r="BE19" i="6"/>
  <c r="BG18" i="6"/>
  <c r="BF18" i="6" s="1"/>
  <c r="Q6" i="7"/>
  <c r="R5" i="7"/>
  <c r="R16" i="4"/>
  <c r="S15" i="4"/>
  <c r="T15" i="8" l="1"/>
  <c r="S16" i="8"/>
  <c r="BE20" i="6"/>
  <c r="BG19" i="6"/>
  <c r="BF19" i="6" s="1"/>
  <c r="BD1446" i="6" s="1"/>
  <c r="BE1446" i="6" s="1"/>
  <c r="S16" i="4"/>
  <c r="T15" i="4"/>
  <c r="R6" i="7"/>
  <c r="S5" i="7"/>
  <c r="U15" i="8" l="1"/>
  <c r="T16" i="8"/>
  <c r="BE21" i="6"/>
  <c r="BG20" i="6"/>
  <c r="BF20" i="6" s="1"/>
  <c r="S6" i="7"/>
  <c r="T5" i="7"/>
  <c r="T16" i="4"/>
  <c r="U15" i="4"/>
  <c r="U16" i="8" l="1"/>
  <c r="V15" i="8"/>
  <c r="BE22" i="6"/>
  <c r="BG21" i="6"/>
  <c r="BF21" i="6" s="1"/>
  <c r="U16" i="4"/>
  <c r="V15" i="4"/>
  <c r="T6" i="7"/>
  <c r="U5" i="7"/>
  <c r="W15" i="8" l="1"/>
  <c r="V16" i="8"/>
  <c r="BE23" i="6"/>
  <c r="BG22" i="6"/>
  <c r="BF22" i="6" s="1"/>
  <c r="U6" i="7"/>
  <c r="V5" i="7"/>
  <c r="V16" i="4"/>
  <c r="W15" i="4"/>
  <c r="X15" i="8" l="1"/>
  <c r="W16" i="8"/>
  <c r="BE24" i="6"/>
  <c r="BG23" i="6"/>
  <c r="BF23" i="6" s="1"/>
  <c r="W16" i="4"/>
  <c r="X15" i="4"/>
  <c r="V6" i="7"/>
  <c r="W5" i="7"/>
  <c r="X16" i="8" l="1"/>
  <c r="Y15" i="8"/>
  <c r="BE25" i="6"/>
  <c r="BG24" i="6"/>
  <c r="BF24" i="6" s="1"/>
  <c r="W6" i="7"/>
  <c r="X5" i="7"/>
  <c r="X16" i="4"/>
  <c r="Y15" i="4"/>
  <c r="Y16" i="8" l="1"/>
  <c r="Z15" i="8"/>
  <c r="BE26" i="6"/>
  <c r="BG25" i="6"/>
  <c r="BF25" i="6" s="1"/>
  <c r="Y16" i="4"/>
  <c r="Z15" i="4"/>
  <c r="X6" i="7"/>
  <c r="Y5" i="7"/>
  <c r="AA15" i="8" l="1"/>
  <c r="Z16" i="8"/>
  <c r="BE27" i="6"/>
  <c r="BG26" i="6"/>
  <c r="BF26" i="6" s="1"/>
  <c r="Y6" i="7"/>
  <c r="Z5" i="7"/>
  <c r="Z16" i="4"/>
  <c r="AA15" i="4"/>
  <c r="AB15" i="8" l="1"/>
  <c r="AA16" i="8"/>
  <c r="BE28" i="6"/>
  <c r="BG27" i="6"/>
  <c r="BF27" i="6" s="1"/>
  <c r="AA16" i="4"/>
  <c r="AB15" i="4"/>
  <c r="Z6" i="7"/>
  <c r="AA5" i="7"/>
  <c r="AC15" i="8" l="1"/>
  <c r="AB16" i="8"/>
  <c r="BE29" i="6"/>
  <c r="BG28" i="6"/>
  <c r="BF28" i="6" s="1"/>
  <c r="AA6" i="7"/>
  <c r="AB5" i="7"/>
  <c r="AB16" i="4"/>
  <c r="AC15" i="4"/>
  <c r="AD15" i="8" l="1"/>
  <c r="AC16" i="8"/>
  <c r="BE30" i="6"/>
  <c r="BG29" i="6"/>
  <c r="BF29" i="6" s="1"/>
  <c r="AC16" i="4"/>
  <c r="AD15" i="4"/>
  <c r="AB6" i="7"/>
  <c r="AC5" i="7"/>
  <c r="AE15" i="8" l="1"/>
  <c r="AD16" i="8"/>
  <c r="BE31" i="6"/>
  <c r="BG30" i="6"/>
  <c r="BF30" i="6" s="1"/>
  <c r="AC6" i="7"/>
  <c r="AD5" i="7"/>
  <c r="AD16" i="4"/>
  <c r="AE15" i="4"/>
  <c r="AF15" i="8" l="1"/>
  <c r="AE16" i="8"/>
  <c r="BE32" i="6"/>
  <c r="BG31" i="6"/>
  <c r="BF31" i="6" s="1"/>
  <c r="AE16" i="4"/>
  <c r="AF15" i="4"/>
  <c r="AD6" i="7"/>
  <c r="AE5" i="7"/>
  <c r="AF16" i="8" l="1"/>
  <c r="AG15" i="8"/>
  <c r="BE33" i="6"/>
  <c r="BG32" i="6"/>
  <c r="BF32" i="6" s="1"/>
  <c r="AE6" i="7"/>
  <c r="AF5" i="7"/>
  <c r="AF16" i="4"/>
  <c r="AG15" i="4"/>
  <c r="AG16" i="8" l="1"/>
  <c r="AH15" i="8"/>
  <c r="BE34" i="6"/>
  <c r="BG33" i="6"/>
  <c r="BF33" i="6" s="1"/>
  <c r="AG16" i="4"/>
  <c r="AH15" i="4"/>
  <c r="AF6" i="7"/>
  <c r="AG5" i="7"/>
  <c r="AI15" i="8" l="1"/>
  <c r="AH16" i="8"/>
  <c r="BE35" i="6"/>
  <c r="BG34" i="6"/>
  <c r="BF34" i="6" s="1"/>
  <c r="BD1447" i="6" s="1"/>
  <c r="BE1447" i="6" s="1"/>
  <c r="AG6" i="7"/>
  <c r="AH5" i="7"/>
  <c r="AH16" i="4"/>
  <c r="AI15" i="4"/>
  <c r="AJ15" i="8" l="1"/>
  <c r="AI16" i="8"/>
  <c r="BE36" i="6"/>
  <c r="BG35" i="6"/>
  <c r="BF35" i="6" s="1"/>
  <c r="AI16" i="4"/>
  <c r="AJ15" i="4"/>
  <c r="AH6" i="7"/>
  <c r="AI5" i="7"/>
  <c r="AK15" i="8" l="1"/>
  <c r="AJ16" i="8"/>
  <c r="BE37" i="6"/>
  <c r="BG36" i="6"/>
  <c r="BF36" i="6" s="1"/>
  <c r="AI6" i="7"/>
  <c r="AJ5" i="7"/>
  <c r="AJ16" i="4"/>
  <c r="AK15" i="4"/>
  <c r="AK16" i="8" l="1"/>
  <c r="AL15" i="8"/>
  <c r="BE38" i="6"/>
  <c r="BG37" i="6"/>
  <c r="BF37" i="6" s="1"/>
  <c r="AK16" i="4"/>
  <c r="AL15" i="4"/>
  <c r="AJ6" i="7"/>
  <c r="AK5" i="7"/>
  <c r="AM15" i="8" l="1"/>
  <c r="AL16" i="8"/>
  <c r="BE39" i="6"/>
  <c r="BG38" i="6"/>
  <c r="BF38" i="6" s="1"/>
  <c r="AK6" i="7"/>
  <c r="AL5" i="7"/>
  <c r="AL16" i="4"/>
  <c r="AM15" i="4"/>
  <c r="AN15" i="8" l="1"/>
  <c r="AM16" i="8"/>
  <c r="BE40" i="6"/>
  <c r="BG39" i="6"/>
  <c r="BF39" i="6" s="1"/>
  <c r="AM16" i="4"/>
  <c r="AN15" i="4"/>
  <c r="AL6" i="7"/>
  <c r="AM5" i="7"/>
  <c r="AN16" i="8" l="1"/>
  <c r="AO15" i="8"/>
  <c r="BE41" i="6"/>
  <c r="BG40" i="6"/>
  <c r="BF40" i="6" s="1"/>
  <c r="AM6" i="7"/>
  <c r="AN5" i="7"/>
  <c r="AN16" i="4"/>
  <c r="AO15" i="4"/>
  <c r="AP15" i="8" l="1"/>
  <c r="AO16" i="8"/>
  <c r="BE42" i="6"/>
  <c r="BG41" i="6"/>
  <c r="BF41" i="6" s="1"/>
  <c r="AO16" i="4"/>
  <c r="AP15" i="4"/>
  <c r="AN6" i="7"/>
  <c r="AO5" i="7"/>
  <c r="AQ15" i="8" l="1"/>
  <c r="AP16" i="8"/>
  <c r="BE43" i="6"/>
  <c r="BG42" i="6"/>
  <c r="BF42" i="6" s="1"/>
  <c r="AO6" i="7"/>
  <c r="AP5" i="7"/>
  <c r="AP16" i="4"/>
  <c r="AQ15" i="4"/>
  <c r="AR15" i="8" l="1"/>
  <c r="AQ16" i="8"/>
  <c r="BE44" i="6"/>
  <c r="BG43" i="6"/>
  <c r="BF43" i="6" s="1"/>
  <c r="AQ16" i="4"/>
  <c r="AR15" i="4"/>
  <c r="AP6" i="7"/>
  <c r="AQ5" i="7"/>
  <c r="AS15" i="8" l="1"/>
  <c r="AR16" i="8"/>
  <c r="BE45" i="6"/>
  <c r="BG44" i="6"/>
  <c r="BF44" i="6" s="1"/>
  <c r="AQ6" i="7"/>
  <c r="AR5" i="7"/>
  <c r="AR16" i="4"/>
  <c r="AS15" i="4"/>
  <c r="AS16" i="8" l="1"/>
  <c r="AT15" i="8"/>
  <c r="BE46" i="6"/>
  <c r="BG45" i="6"/>
  <c r="BF45" i="6" s="1"/>
  <c r="AS16" i="4"/>
  <c r="AT15" i="4"/>
  <c r="AR6" i="7"/>
  <c r="AS5" i="7"/>
  <c r="AU15" i="8" l="1"/>
  <c r="AT16" i="8"/>
  <c r="BE47" i="6"/>
  <c r="BG46" i="6"/>
  <c r="BF46" i="6" s="1"/>
  <c r="AS6" i="7"/>
  <c r="AT5" i="7"/>
  <c r="AT16" i="4"/>
  <c r="AU15" i="4"/>
  <c r="AV15" i="8" l="1"/>
  <c r="AU16" i="8"/>
  <c r="BE48" i="6"/>
  <c r="BG47" i="6"/>
  <c r="BF47" i="6" s="1"/>
  <c r="AU16" i="4"/>
  <c r="AV15" i="4"/>
  <c r="AT6" i="7"/>
  <c r="AU5" i="7"/>
  <c r="AV16" i="8" l="1"/>
  <c r="AW15" i="8"/>
  <c r="BE49" i="6"/>
  <c r="BG48" i="6"/>
  <c r="BF48" i="6" s="1"/>
  <c r="AU6" i="7"/>
  <c r="AV5" i="7"/>
  <c r="AV16" i="4"/>
  <c r="AW15" i="4"/>
  <c r="AW16" i="8" l="1"/>
  <c r="AX15" i="8"/>
  <c r="BE50" i="6"/>
  <c r="BG49" i="6"/>
  <c r="BF49" i="6" s="1"/>
  <c r="BD1448" i="6" s="1"/>
  <c r="BE1448" i="6" s="1"/>
  <c r="AW16" i="4"/>
  <c r="AX15" i="4"/>
  <c r="AV6" i="7"/>
  <c r="AW5" i="7"/>
  <c r="AY15" i="8" l="1"/>
  <c r="AX16" i="8"/>
  <c r="BE51" i="6"/>
  <c r="BG50" i="6"/>
  <c r="BF50" i="6" s="1"/>
  <c r="AW6" i="7"/>
  <c r="CW2" i="7" s="1"/>
  <c r="AX5" i="7"/>
  <c r="AX16" i="4"/>
  <c r="AY15" i="4"/>
  <c r="AZ15" i="8" l="1"/>
  <c r="AY16" i="8"/>
  <c r="BE52" i="6"/>
  <c r="BG51" i="6"/>
  <c r="BF51" i="6" s="1"/>
  <c r="AY16" i="4"/>
  <c r="AZ15" i="4"/>
  <c r="AX6" i="7"/>
  <c r="AY5" i="7"/>
  <c r="BA15" i="8" l="1"/>
  <c r="AZ16" i="8"/>
  <c r="BE53" i="6"/>
  <c r="BG52" i="6"/>
  <c r="BF52" i="6" s="1"/>
  <c r="AY6" i="7"/>
  <c r="AZ5" i="7"/>
  <c r="AZ16" i="4"/>
  <c r="BA15" i="4"/>
  <c r="BA16" i="8" l="1"/>
  <c r="BB15" i="8"/>
  <c r="BE54" i="6"/>
  <c r="BG53" i="6"/>
  <c r="BF53" i="6" s="1"/>
  <c r="BA16" i="4"/>
  <c r="BB15" i="4"/>
  <c r="AZ6" i="7"/>
  <c r="BA5" i="7"/>
  <c r="BC15" i="8" l="1"/>
  <c r="BB16" i="8"/>
  <c r="BE55" i="6"/>
  <c r="BG54" i="6"/>
  <c r="BF54" i="6" s="1"/>
  <c r="BA6" i="7"/>
  <c r="BB5" i="7"/>
  <c r="BB16" i="4"/>
  <c r="BC15" i="4"/>
  <c r="BD15" i="8" l="1"/>
  <c r="BC16" i="8"/>
  <c r="BE56" i="6"/>
  <c r="BG55" i="6"/>
  <c r="BF55" i="6" s="1"/>
  <c r="BC16" i="4"/>
  <c r="BD15" i="4"/>
  <c r="BB6" i="7"/>
  <c r="BC5" i="7"/>
  <c r="BD16" i="8" l="1"/>
  <c r="BE15" i="8"/>
  <c r="BE57" i="6"/>
  <c r="BG56" i="6"/>
  <c r="BF56" i="6" s="1"/>
  <c r="BC6" i="7"/>
  <c r="BD5" i="7"/>
  <c r="BD16" i="4"/>
  <c r="BE15" i="4"/>
  <c r="BE16" i="8" l="1"/>
  <c r="BF15" i="8"/>
  <c r="BE58" i="6"/>
  <c r="BG57" i="6"/>
  <c r="BF57" i="6" s="1"/>
  <c r="BE16" i="4"/>
  <c r="BF15" i="4"/>
  <c r="BD6" i="7"/>
  <c r="BE5" i="7"/>
  <c r="BG15" i="8" l="1"/>
  <c r="BF16" i="8"/>
  <c r="BE59" i="6"/>
  <c r="BG58" i="6"/>
  <c r="BF58" i="6" s="1"/>
  <c r="BE6" i="7"/>
  <c r="BF5" i="7"/>
  <c r="BF16" i="4"/>
  <c r="BG15" i="4"/>
  <c r="BH15" i="8" l="1"/>
  <c r="BG16" i="8"/>
  <c r="BE60" i="6"/>
  <c r="BG59" i="6"/>
  <c r="BF59" i="6" s="1"/>
  <c r="BG16" i="4"/>
  <c r="BH15" i="4"/>
  <c r="BF6" i="7"/>
  <c r="BG5" i="7"/>
  <c r="BI15" i="8" l="1"/>
  <c r="BH16" i="8"/>
  <c r="BE61" i="6"/>
  <c r="BG60" i="6"/>
  <c r="BF60" i="6" s="1"/>
  <c r="BG6" i="7"/>
  <c r="BH5" i="7"/>
  <c r="BH16" i="4"/>
  <c r="BI15" i="4"/>
  <c r="BJ15" i="8" l="1"/>
  <c r="BI16" i="8"/>
  <c r="BE62" i="6"/>
  <c r="BG61" i="6"/>
  <c r="BF61" i="6" s="1"/>
  <c r="BI16" i="4"/>
  <c r="BJ15" i="4"/>
  <c r="BH6" i="7"/>
  <c r="BI5" i="7"/>
  <c r="BK15" i="8" l="1"/>
  <c r="BJ16" i="8"/>
  <c r="BE63" i="6"/>
  <c r="BG62" i="6"/>
  <c r="BF62" i="6" s="1"/>
  <c r="BI6" i="7"/>
  <c r="BJ5" i="7"/>
  <c r="BJ16" i="4"/>
  <c r="BK15" i="4"/>
  <c r="BL15" i="8" l="1"/>
  <c r="BK16" i="8"/>
  <c r="BE64" i="6"/>
  <c r="BG63" i="6"/>
  <c r="BF63" i="6" s="1"/>
  <c r="BK16" i="4"/>
  <c r="BL15" i="4"/>
  <c r="BJ6" i="7"/>
  <c r="BK5" i="7"/>
  <c r="BM15" i="8" l="1"/>
  <c r="BL16" i="8"/>
  <c r="BE65" i="6"/>
  <c r="BG64" i="6"/>
  <c r="BF64" i="6" s="1"/>
  <c r="BD1449" i="6" s="1"/>
  <c r="BE1449" i="6" s="1"/>
  <c r="BK6" i="7"/>
  <c r="BL5" i="7"/>
  <c r="BL16" i="4"/>
  <c r="BM15" i="4"/>
  <c r="BM16" i="8" l="1"/>
  <c r="BN15" i="8"/>
  <c r="BE66" i="6"/>
  <c r="BG65" i="6"/>
  <c r="BF65" i="6" s="1"/>
  <c r="BM16" i="4"/>
  <c r="BN15" i="4"/>
  <c r="BL6" i="7"/>
  <c r="BM5" i="7"/>
  <c r="BO15" i="8" l="1"/>
  <c r="BN16" i="8"/>
  <c r="BE67" i="6"/>
  <c r="BG66" i="6"/>
  <c r="BF66" i="6" s="1"/>
  <c r="BM6" i="7"/>
  <c r="BN5" i="7"/>
  <c r="BN16" i="4"/>
  <c r="BO15" i="4"/>
  <c r="BP15" i="8" l="1"/>
  <c r="BO16" i="8"/>
  <c r="BE68" i="6"/>
  <c r="BG67" i="6"/>
  <c r="BF67" i="6" s="1"/>
  <c r="BO16" i="4"/>
  <c r="BP15" i="4"/>
  <c r="BN6" i="7"/>
  <c r="BO5" i="7"/>
  <c r="BQ15" i="8" l="1"/>
  <c r="BP16" i="8"/>
  <c r="BE69" i="6"/>
  <c r="BG68" i="6"/>
  <c r="BF68" i="6" s="1"/>
  <c r="BO6" i="7"/>
  <c r="BP5" i="7"/>
  <c r="BP16" i="4"/>
  <c r="BQ15" i="4"/>
  <c r="BQ16" i="8" l="1"/>
  <c r="BR15" i="8"/>
  <c r="BE70" i="6"/>
  <c r="BG69" i="6"/>
  <c r="BF69" i="6" s="1"/>
  <c r="BQ16" i="4"/>
  <c r="BR15" i="4"/>
  <c r="BP6" i="7"/>
  <c r="BQ5" i="7"/>
  <c r="BS15" i="8" l="1"/>
  <c r="BR16" i="8"/>
  <c r="BE71" i="6"/>
  <c r="BG70" i="6"/>
  <c r="BF70" i="6" s="1"/>
  <c r="BQ6" i="7"/>
  <c r="BR5" i="7"/>
  <c r="BR16" i="4"/>
  <c r="BS15" i="4"/>
  <c r="BT15" i="8" l="1"/>
  <c r="BS16" i="8"/>
  <c r="BE72" i="6"/>
  <c r="BG71" i="6"/>
  <c r="BF71" i="6" s="1"/>
  <c r="BS16" i="4"/>
  <c r="BT15" i="4"/>
  <c r="BR6" i="7"/>
  <c r="BS5" i="7"/>
  <c r="BT16" i="8" l="1"/>
  <c r="BU15" i="8"/>
  <c r="BE73" i="6"/>
  <c r="BG72" i="6"/>
  <c r="BF72" i="6" s="1"/>
  <c r="BS6" i="7"/>
  <c r="BT5" i="7"/>
  <c r="BT16" i="4"/>
  <c r="BU15" i="4"/>
  <c r="BU16" i="8" l="1"/>
  <c r="BV15" i="8"/>
  <c r="BE74" i="6"/>
  <c r="BG73" i="6"/>
  <c r="BF73" i="6" s="1"/>
  <c r="BU16" i="4"/>
  <c r="BV15" i="4"/>
  <c r="BT6" i="7"/>
  <c r="BU5" i="7"/>
  <c r="BW15" i="8" l="1"/>
  <c r="BV16" i="8"/>
  <c r="BE75" i="6"/>
  <c r="BG74" i="6"/>
  <c r="BF74" i="6" s="1"/>
  <c r="BU6" i="7"/>
  <c r="BV5" i="7"/>
  <c r="BV16" i="4"/>
  <c r="BW15" i="4"/>
  <c r="BX15" i="8" l="1"/>
  <c r="BW16" i="8"/>
  <c r="BE76" i="6"/>
  <c r="BG75" i="6"/>
  <c r="BF75" i="6" s="1"/>
  <c r="BW16" i="4"/>
  <c r="BX15" i="4"/>
  <c r="BV6" i="7"/>
  <c r="BW5" i="7"/>
  <c r="BY15" i="8" l="1"/>
  <c r="BX16" i="8"/>
  <c r="BE77" i="6"/>
  <c r="BG76" i="6"/>
  <c r="BF76" i="6" s="1"/>
  <c r="BW6" i="7"/>
  <c r="BX5" i="7"/>
  <c r="BX16" i="4"/>
  <c r="BY15" i="4"/>
  <c r="BY16" i="8" l="1"/>
  <c r="BZ15" i="8"/>
  <c r="BE78" i="6"/>
  <c r="BG77" i="6"/>
  <c r="BF77" i="6" s="1"/>
  <c r="BY16" i="4"/>
  <c r="BZ15" i="4"/>
  <c r="BX6" i="7"/>
  <c r="BY5" i="7"/>
  <c r="CA15" i="8" l="1"/>
  <c r="BZ16" i="8"/>
  <c r="BE79" i="6"/>
  <c r="BG78" i="6"/>
  <c r="BF78" i="6" s="1"/>
  <c r="BY6" i="7"/>
  <c r="BZ5" i="7"/>
  <c r="BZ16" i="4"/>
  <c r="CA15" i="4"/>
  <c r="CB15" i="8" l="1"/>
  <c r="CA16" i="8"/>
  <c r="BE80" i="6"/>
  <c r="BG79" i="6"/>
  <c r="BF79" i="6" s="1"/>
  <c r="BD1450" i="6" s="1"/>
  <c r="BE1450" i="6" s="1"/>
  <c r="CA16" i="4"/>
  <c r="CB15" i="4"/>
  <c r="BZ6" i="7"/>
  <c r="CA5" i="7"/>
  <c r="CB16" i="8" l="1"/>
  <c r="CC15" i="8"/>
  <c r="BE81" i="6"/>
  <c r="BG80" i="6"/>
  <c r="BF80" i="6" s="1"/>
  <c r="CA6" i="7"/>
  <c r="CB5" i="7"/>
  <c r="CB16" i="4"/>
  <c r="CC15" i="4"/>
  <c r="CC16" i="8" l="1"/>
  <c r="CD15" i="8"/>
  <c r="BE82" i="6"/>
  <c r="BG81" i="6"/>
  <c r="BF81" i="6" s="1"/>
  <c r="CC16" i="4"/>
  <c r="CD15" i="4"/>
  <c r="CB6" i="7"/>
  <c r="CC5" i="7"/>
  <c r="CE15" i="8" l="1"/>
  <c r="CD16" i="8"/>
  <c r="BE83" i="6"/>
  <c r="BG82" i="6"/>
  <c r="BF82" i="6" s="1"/>
  <c r="CC6" i="7"/>
  <c r="CD5" i="7"/>
  <c r="CD16" i="4"/>
  <c r="CE15" i="4"/>
  <c r="CF15" i="8" l="1"/>
  <c r="CE16" i="8"/>
  <c r="BE84" i="6"/>
  <c r="BG83" i="6"/>
  <c r="BF83" i="6" s="1"/>
  <c r="CE16" i="4"/>
  <c r="CF15" i="4"/>
  <c r="CD6" i="7"/>
  <c r="CE5" i="7"/>
  <c r="CG15" i="8" l="1"/>
  <c r="CF16" i="8"/>
  <c r="BE85" i="6"/>
  <c r="BG84" i="6"/>
  <c r="BF84" i="6" s="1"/>
  <c r="CE6" i="7"/>
  <c r="CF5" i="7"/>
  <c r="CF16" i="4"/>
  <c r="CG15" i="4"/>
  <c r="CG16" i="8" l="1"/>
  <c r="CH15" i="8"/>
  <c r="BE86" i="6"/>
  <c r="BG85" i="6"/>
  <c r="BF85" i="6" s="1"/>
  <c r="CG16" i="4"/>
  <c r="CH15" i="4"/>
  <c r="CF6" i="7"/>
  <c r="CG5" i="7"/>
  <c r="CI15" i="8" l="1"/>
  <c r="CH16" i="8"/>
  <c r="BE87" i="6"/>
  <c r="BG86" i="6"/>
  <c r="BF86" i="6" s="1"/>
  <c r="CG6" i="7"/>
  <c r="CH5" i="7"/>
  <c r="CH16" i="4"/>
  <c r="CI15" i="4"/>
  <c r="CJ15" i="8" l="1"/>
  <c r="CI16" i="8"/>
  <c r="BE88" i="6"/>
  <c r="BG87" i="6"/>
  <c r="BF87" i="6" s="1"/>
  <c r="CI16" i="4"/>
  <c r="CJ15" i="4"/>
  <c r="CH6" i="7"/>
  <c r="CI5" i="7"/>
  <c r="CK15" i="8" l="1"/>
  <c r="CJ16" i="8"/>
  <c r="BE89" i="6"/>
  <c r="BG88" i="6"/>
  <c r="BF88" i="6" s="1"/>
  <c r="CI6" i="7"/>
  <c r="CJ5" i="7"/>
  <c r="CJ16" i="4"/>
  <c r="CK15" i="4"/>
  <c r="CK16" i="8" l="1"/>
  <c r="CL15" i="8"/>
  <c r="BE90" i="6"/>
  <c r="BG89" i="6"/>
  <c r="BF89" i="6" s="1"/>
  <c r="CK16" i="4"/>
  <c r="CL15" i="4"/>
  <c r="CJ6" i="7"/>
  <c r="CK5" i="7"/>
  <c r="CM15" i="8" l="1"/>
  <c r="CL16" i="8"/>
  <c r="BE91" i="6"/>
  <c r="BG90" i="6"/>
  <c r="BF90" i="6" s="1"/>
  <c r="CK6" i="7"/>
  <c r="CL5" i="7"/>
  <c r="CL16" i="4"/>
  <c r="CM15" i="4"/>
  <c r="CN15" i="8" l="1"/>
  <c r="CM16" i="8"/>
  <c r="BE92" i="6"/>
  <c r="BG91" i="6"/>
  <c r="BF91" i="6" s="1"/>
  <c r="CM16" i="4"/>
  <c r="CN15" i="4"/>
  <c r="CL6" i="7"/>
  <c r="CM5" i="7"/>
  <c r="CO15" i="8" l="1"/>
  <c r="CN16" i="8"/>
  <c r="BE93" i="6"/>
  <c r="BG92" i="6"/>
  <c r="BF92" i="6" s="1"/>
  <c r="CM6" i="7"/>
  <c r="CN5" i="7"/>
  <c r="CN16" i="4"/>
  <c r="CO15" i="4"/>
  <c r="CP15" i="8" l="1"/>
  <c r="CO16" i="8"/>
  <c r="BE94" i="6"/>
  <c r="BG93" i="6"/>
  <c r="BF93" i="6" s="1"/>
  <c r="CO16" i="4"/>
  <c r="CP15" i="4"/>
  <c r="CN6" i="7"/>
  <c r="CO5" i="7"/>
  <c r="CQ15" i="8" l="1"/>
  <c r="CP16" i="8"/>
  <c r="BE95" i="6"/>
  <c r="BG94" i="6"/>
  <c r="BF94" i="6" s="1"/>
  <c r="BD1451" i="6" s="1"/>
  <c r="BE1451" i="6" s="1"/>
  <c r="CO6" i="7"/>
  <c r="CP5" i="7"/>
  <c r="CP16" i="4"/>
  <c r="CQ15" i="4"/>
  <c r="CR15" i="8" l="1"/>
  <c r="CQ16" i="8"/>
  <c r="BE96" i="6"/>
  <c r="BG95" i="6"/>
  <c r="BF95" i="6" s="1"/>
  <c r="CQ16" i="4"/>
  <c r="CR15" i="4"/>
  <c r="CP6" i="7"/>
  <c r="CQ5" i="7"/>
  <c r="CR16" i="8" l="1"/>
  <c r="CS15" i="8"/>
  <c r="CS16" i="8" s="1"/>
  <c r="BE97" i="6"/>
  <c r="BG96" i="6"/>
  <c r="BF96" i="6" s="1"/>
  <c r="CQ6" i="7"/>
  <c r="CR5" i="7"/>
  <c r="CR16" i="4"/>
  <c r="CS15" i="4"/>
  <c r="CS16" i="4" s="1"/>
  <c r="BE98" i="6" l="1"/>
  <c r="BG97" i="6"/>
  <c r="BF97" i="6" s="1"/>
  <c r="CR6" i="7"/>
  <c r="CS5" i="7"/>
  <c r="CS6" i="7" s="1"/>
  <c r="CW3" i="7" s="1"/>
  <c r="CW4" i="7" s="1"/>
  <c r="BE99" i="6" l="1"/>
  <c r="BG98" i="6"/>
  <c r="BF98" i="6" s="1"/>
  <c r="BE100" i="6" l="1"/>
  <c r="BG99" i="6"/>
  <c r="BF99" i="6" s="1"/>
  <c r="BE101" i="6" l="1"/>
  <c r="BG100" i="6"/>
  <c r="BF100" i="6" s="1"/>
  <c r="BE102" i="6" l="1"/>
  <c r="BG101" i="6"/>
  <c r="BF101" i="6" s="1"/>
  <c r="BE103" i="6" l="1"/>
  <c r="BG102" i="6"/>
  <c r="BF102" i="6" s="1"/>
  <c r="BE104" i="6" l="1"/>
  <c r="BG103" i="6"/>
  <c r="BF103" i="6" s="1"/>
  <c r="BE105" i="6" l="1"/>
  <c r="BG104" i="6"/>
  <c r="BF104" i="6" s="1"/>
  <c r="BE106" i="6" l="1"/>
  <c r="BG105" i="6"/>
  <c r="BF105" i="6" s="1"/>
  <c r="BE107" i="6" l="1"/>
  <c r="BG106" i="6"/>
  <c r="BF106" i="6" s="1"/>
  <c r="BE108" i="6" l="1"/>
  <c r="BG107" i="6"/>
  <c r="BF107" i="6" s="1"/>
  <c r="BE109" i="6" l="1"/>
  <c r="BG108" i="6"/>
  <c r="BF108" i="6" s="1"/>
  <c r="BE110" i="6" l="1"/>
  <c r="BG109" i="6"/>
  <c r="BF109" i="6" s="1"/>
  <c r="BD1452" i="6" s="1"/>
  <c r="BE1452" i="6" s="1"/>
  <c r="BE111" i="6" l="1"/>
  <c r="BG110" i="6"/>
  <c r="BF110" i="6" s="1"/>
  <c r="BE112" i="6" l="1"/>
  <c r="BG111" i="6"/>
  <c r="BF111" i="6" s="1"/>
  <c r="BE113" i="6" l="1"/>
  <c r="BG112" i="6"/>
  <c r="BF112" i="6" s="1"/>
  <c r="BE114" i="6" l="1"/>
  <c r="BG113" i="6"/>
  <c r="BF113" i="6" s="1"/>
  <c r="BE115" i="6" l="1"/>
  <c r="BG114" i="6"/>
  <c r="BF114" i="6" s="1"/>
  <c r="BE116" i="6" l="1"/>
  <c r="BG115" i="6"/>
  <c r="BF115" i="6" s="1"/>
  <c r="BE117" i="6" l="1"/>
  <c r="BG116" i="6"/>
  <c r="BF116" i="6" s="1"/>
  <c r="BE118" i="6" l="1"/>
  <c r="BG117" i="6"/>
  <c r="BF117" i="6" s="1"/>
  <c r="BE119" i="6" l="1"/>
  <c r="BG118" i="6"/>
  <c r="BF118" i="6" s="1"/>
  <c r="BE120" i="6" l="1"/>
  <c r="BG119" i="6"/>
  <c r="BF119" i="6" s="1"/>
  <c r="BE121" i="6" l="1"/>
  <c r="BG120" i="6"/>
  <c r="BF120" i="6" s="1"/>
  <c r="BE122" i="6" l="1"/>
  <c r="BG121" i="6"/>
  <c r="BF121" i="6" s="1"/>
  <c r="BE123" i="6" l="1"/>
  <c r="BG122" i="6"/>
  <c r="BF122" i="6" s="1"/>
  <c r="BE124" i="6" l="1"/>
  <c r="BG123" i="6"/>
  <c r="BF123" i="6" s="1"/>
  <c r="BE125" i="6" l="1"/>
  <c r="BG124" i="6"/>
  <c r="BF124" i="6" s="1"/>
  <c r="BD1453" i="6" s="1"/>
  <c r="BE1453" i="6" s="1"/>
  <c r="BE126" i="6" l="1"/>
  <c r="BG125" i="6"/>
  <c r="BF125" i="6" s="1"/>
  <c r="BE127" i="6" l="1"/>
  <c r="BG126" i="6"/>
  <c r="BF126" i="6" s="1"/>
  <c r="BE128" i="6" l="1"/>
  <c r="BG127" i="6"/>
  <c r="BF127" i="6" s="1"/>
  <c r="BE129" i="6" l="1"/>
  <c r="BG128" i="6"/>
  <c r="BF128" i="6" s="1"/>
  <c r="BE130" i="6" l="1"/>
  <c r="BG129" i="6"/>
  <c r="BF129" i="6" s="1"/>
  <c r="BE131" i="6" l="1"/>
  <c r="BG130" i="6"/>
  <c r="BF130" i="6" s="1"/>
  <c r="BE132" i="6" l="1"/>
  <c r="BG131" i="6"/>
  <c r="BF131" i="6" s="1"/>
  <c r="BE133" i="6" l="1"/>
  <c r="BG132" i="6"/>
  <c r="BF132" i="6" s="1"/>
  <c r="BE134" i="6" l="1"/>
  <c r="BG133" i="6"/>
  <c r="BF133" i="6" s="1"/>
  <c r="BE135" i="6" l="1"/>
  <c r="BG134" i="6"/>
  <c r="BF134" i="6" s="1"/>
  <c r="BE136" i="6" l="1"/>
  <c r="BG135" i="6"/>
  <c r="BF135" i="6" s="1"/>
  <c r="BE137" i="6" l="1"/>
  <c r="BG136" i="6"/>
  <c r="BF136" i="6" s="1"/>
  <c r="BE138" i="6" l="1"/>
  <c r="BG137" i="6"/>
  <c r="BF137" i="6" s="1"/>
  <c r="BE139" i="6" l="1"/>
  <c r="BG138" i="6"/>
  <c r="BF138" i="6" s="1"/>
  <c r="BE140" i="6" l="1"/>
  <c r="BG139" i="6"/>
  <c r="BF139" i="6" s="1"/>
  <c r="BD1454" i="6" s="1"/>
  <c r="BE1454" i="6" s="1"/>
  <c r="BE141" i="6" l="1"/>
  <c r="BG140" i="6"/>
  <c r="BF140" i="6" s="1"/>
  <c r="BE142" i="6" l="1"/>
  <c r="BG141" i="6"/>
  <c r="BF141" i="6" s="1"/>
  <c r="BE143" i="6" l="1"/>
  <c r="BG142" i="6"/>
  <c r="BF142" i="6" s="1"/>
  <c r="BE144" i="6" l="1"/>
  <c r="BG143" i="6"/>
  <c r="BF143" i="6" s="1"/>
  <c r="BE145" i="6" l="1"/>
  <c r="BG144" i="6"/>
  <c r="BF144" i="6" s="1"/>
  <c r="BE146" i="6" l="1"/>
  <c r="BG145" i="6"/>
  <c r="BF145" i="6" s="1"/>
  <c r="BE147" i="6" l="1"/>
  <c r="BG146" i="6"/>
  <c r="BF146" i="6" s="1"/>
  <c r="BE148" i="6" l="1"/>
  <c r="BG147" i="6"/>
  <c r="BF147" i="6" s="1"/>
  <c r="BE149" i="6" l="1"/>
  <c r="BG148" i="6"/>
  <c r="BF148" i="6" s="1"/>
  <c r="BE150" i="6" l="1"/>
  <c r="BG149" i="6"/>
  <c r="BF149" i="6" s="1"/>
  <c r="BE151" i="6" l="1"/>
  <c r="BG150" i="6"/>
  <c r="BF150" i="6" s="1"/>
  <c r="BE152" i="6" l="1"/>
  <c r="BG151" i="6"/>
  <c r="BF151" i="6" s="1"/>
  <c r="BE153" i="6" l="1"/>
  <c r="BG152" i="6"/>
  <c r="BF152" i="6" s="1"/>
  <c r="BE154" i="6" l="1"/>
  <c r="BG153" i="6"/>
  <c r="BF153" i="6" s="1"/>
  <c r="BE155" i="6" l="1"/>
  <c r="BG154" i="6"/>
  <c r="BF154" i="6" s="1"/>
  <c r="BD1455" i="6" s="1"/>
  <c r="BE1455" i="6" s="1"/>
  <c r="BE156" i="6" l="1"/>
  <c r="BG155" i="6"/>
  <c r="BF155" i="6" s="1"/>
  <c r="BE157" i="6" l="1"/>
  <c r="BG156" i="6"/>
  <c r="BF156" i="6" s="1"/>
  <c r="BE158" i="6" l="1"/>
  <c r="BG157" i="6"/>
  <c r="BF157" i="6" s="1"/>
  <c r="BE159" i="6" l="1"/>
  <c r="BG158" i="6"/>
  <c r="BF158" i="6" s="1"/>
  <c r="BE160" i="6" l="1"/>
  <c r="BG159" i="6"/>
  <c r="BF159" i="6" s="1"/>
  <c r="BE161" i="6" l="1"/>
  <c r="BG160" i="6"/>
  <c r="BF160" i="6" s="1"/>
  <c r="BE162" i="6" l="1"/>
  <c r="BG161" i="6"/>
  <c r="BF161" i="6" s="1"/>
  <c r="BE163" i="6" l="1"/>
  <c r="BG162" i="6"/>
  <c r="BF162" i="6" s="1"/>
  <c r="BE164" i="6" l="1"/>
  <c r="BG163" i="6"/>
  <c r="BF163" i="6" s="1"/>
  <c r="BE165" i="6" l="1"/>
  <c r="BG164" i="6"/>
  <c r="BF164" i="6" s="1"/>
  <c r="BE166" i="6" l="1"/>
  <c r="BG165" i="6"/>
  <c r="BF165" i="6" s="1"/>
  <c r="BE167" i="6" l="1"/>
  <c r="BG166" i="6"/>
  <c r="BF166" i="6" s="1"/>
  <c r="BE168" i="6" l="1"/>
  <c r="BG167" i="6"/>
  <c r="BF167" i="6" s="1"/>
  <c r="BE169" i="6" l="1"/>
  <c r="BG168" i="6"/>
  <c r="BF168" i="6" s="1"/>
  <c r="BE170" i="6" l="1"/>
  <c r="BG169" i="6"/>
  <c r="BF169" i="6" s="1"/>
  <c r="BD1456" i="6" s="1"/>
  <c r="BE1456" i="6" s="1"/>
  <c r="BE171" i="6" l="1"/>
  <c r="BG170" i="6"/>
  <c r="BF170" i="6" s="1"/>
  <c r="BE172" i="6" l="1"/>
  <c r="BG171" i="6"/>
  <c r="BF171" i="6" s="1"/>
  <c r="BE173" i="6" l="1"/>
  <c r="BG172" i="6"/>
  <c r="BF172" i="6" s="1"/>
  <c r="BE174" i="6" l="1"/>
  <c r="BG173" i="6"/>
  <c r="BF173" i="6" s="1"/>
  <c r="BE175" i="6" l="1"/>
  <c r="BG174" i="6"/>
  <c r="BF174" i="6" s="1"/>
  <c r="BE176" i="6" l="1"/>
  <c r="BG175" i="6"/>
  <c r="BF175" i="6" s="1"/>
  <c r="BE177" i="6" l="1"/>
  <c r="BG176" i="6"/>
  <c r="BF176" i="6" s="1"/>
  <c r="BE178" i="6" l="1"/>
  <c r="BG177" i="6"/>
  <c r="BF177" i="6" s="1"/>
  <c r="BE179" i="6" l="1"/>
  <c r="BG178" i="6"/>
  <c r="BF178" i="6" s="1"/>
  <c r="BE180" i="6" l="1"/>
  <c r="BG179" i="6"/>
  <c r="BF179" i="6" s="1"/>
  <c r="BE181" i="6" l="1"/>
  <c r="BG180" i="6"/>
  <c r="BF180" i="6" s="1"/>
  <c r="BE182" i="6" l="1"/>
  <c r="BG181" i="6"/>
  <c r="BF181" i="6" s="1"/>
  <c r="BE183" i="6" l="1"/>
  <c r="BG182" i="6"/>
  <c r="BF182" i="6" s="1"/>
  <c r="BE184" i="6" l="1"/>
  <c r="BG183" i="6"/>
  <c r="BF183" i="6" s="1"/>
  <c r="BE185" i="6" l="1"/>
  <c r="BG184" i="6"/>
  <c r="BF184" i="6" s="1"/>
  <c r="BD1457" i="6" s="1"/>
  <c r="BE1457" i="6" s="1"/>
  <c r="BE186" i="6" l="1"/>
  <c r="BG185" i="6"/>
  <c r="BF185" i="6" s="1"/>
  <c r="BE187" i="6" l="1"/>
  <c r="BG186" i="6"/>
  <c r="BF186" i="6" s="1"/>
  <c r="BE188" i="6" l="1"/>
  <c r="BG187" i="6"/>
  <c r="BF187" i="6" s="1"/>
  <c r="BE189" i="6" l="1"/>
  <c r="BG188" i="6"/>
  <c r="BF188" i="6" s="1"/>
  <c r="BE190" i="6" l="1"/>
  <c r="BG189" i="6"/>
  <c r="BF189" i="6" s="1"/>
  <c r="BE191" i="6" l="1"/>
  <c r="BG190" i="6"/>
  <c r="BF190" i="6" s="1"/>
  <c r="BE192" i="6" l="1"/>
  <c r="BG191" i="6"/>
  <c r="BF191" i="6" s="1"/>
  <c r="BE193" i="6" l="1"/>
  <c r="BG192" i="6"/>
  <c r="BF192" i="6" s="1"/>
  <c r="BE194" i="6" l="1"/>
  <c r="BG193" i="6"/>
  <c r="BF193" i="6" s="1"/>
  <c r="BE195" i="6" l="1"/>
  <c r="BG194" i="6"/>
  <c r="BF194" i="6" s="1"/>
  <c r="BE196" i="6" l="1"/>
  <c r="BG195" i="6"/>
  <c r="BF195" i="6" s="1"/>
  <c r="BE197" i="6" l="1"/>
  <c r="BG196" i="6"/>
  <c r="BF196" i="6" s="1"/>
  <c r="BE198" i="6" l="1"/>
  <c r="BG197" i="6"/>
  <c r="BF197" i="6" s="1"/>
  <c r="BE199" i="6" l="1"/>
  <c r="BG198" i="6"/>
  <c r="BF198" i="6" s="1"/>
  <c r="BE200" i="6" l="1"/>
  <c r="BG199" i="6"/>
  <c r="BF199" i="6" s="1"/>
  <c r="BD1458" i="6" s="1"/>
  <c r="BE1458" i="6" s="1"/>
  <c r="BE201" i="6" l="1"/>
  <c r="BG200" i="6"/>
  <c r="BF200" i="6" s="1"/>
  <c r="BE202" i="6" l="1"/>
  <c r="BG201" i="6"/>
  <c r="BF201" i="6" s="1"/>
  <c r="BE203" i="6" l="1"/>
  <c r="BG202" i="6"/>
  <c r="BF202" i="6" s="1"/>
  <c r="BE204" i="6" l="1"/>
  <c r="BG203" i="6"/>
  <c r="BF203" i="6" s="1"/>
  <c r="BE205" i="6" l="1"/>
  <c r="BG204" i="6"/>
  <c r="BF204" i="6" s="1"/>
  <c r="BE206" i="6" l="1"/>
  <c r="BG205" i="6"/>
  <c r="BF205" i="6" s="1"/>
  <c r="BE207" i="6" l="1"/>
  <c r="BG206" i="6"/>
  <c r="BF206" i="6" s="1"/>
  <c r="BE208" i="6" l="1"/>
  <c r="BG207" i="6"/>
  <c r="BF207" i="6" s="1"/>
  <c r="BE209" i="6" l="1"/>
  <c r="BG208" i="6"/>
  <c r="BF208" i="6" s="1"/>
  <c r="BE210" i="6" l="1"/>
  <c r="BG209" i="6"/>
  <c r="BF209" i="6" s="1"/>
  <c r="BE211" i="6" l="1"/>
  <c r="BG210" i="6"/>
  <c r="BF210" i="6" s="1"/>
  <c r="BE212" i="6" l="1"/>
  <c r="BG211" i="6"/>
  <c r="BF211" i="6" s="1"/>
  <c r="BE213" i="6" l="1"/>
  <c r="BG212" i="6"/>
  <c r="BF212" i="6" s="1"/>
  <c r="BE214" i="6" l="1"/>
  <c r="BG213" i="6"/>
  <c r="BF213" i="6" s="1"/>
  <c r="BE215" i="6" l="1"/>
  <c r="BG214" i="6"/>
  <c r="BF214" i="6" s="1"/>
  <c r="BD1459" i="6" s="1"/>
  <c r="BE1459" i="6" s="1"/>
  <c r="BE216" i="6" l="1"/>
  <c r="BG215" i="6"/>
  <c r="BF215" i="6" s="1"/>
  <c r="BE217" i="6" l="1"/>
  <c r="BG216" i="6"/>
  <c r="BF216" i="6" s="1"/>
  <c r="BE218" i="6" l="1"/>
  <c r="BG217" i="6"/>
  <c r="BF217" i="6" s="1"/>
  <c r="BE219" i="6" l="1"/>
  <c r="BG218" i="6"/>
  <c r="BF218" i="6" s="1"/>
  <c r="BE220" i="6" l="1"/>
  <c r="BG219" i="6"/>
  <c r="BF219" i="6" s="1"/>
  <c r="BE221" i="6" l="1"/>
  <c r="BG220" i="6"/>
  <c r="BF220" i="6" s="1"/>
  <c r="BE222" i="6" l="1"/>
  <c r="BG221" i="6"/>
  <c r="BF221" i="6" s="1"/>
  <c r="BE223" i="6" l="1"/>
  <c r="BG222" i="6"/>
  <c r="BF222" i="6" s="1"/>
  <c r="BE224" i="6" l="1"/>
  <c r="BG223" i="6"/>
  <c r="BF223" i="6" s="1"/>
  <c r="BE225" i="6" l="1"/>
  <c r="BG224" i="6"/>
  <c r="BF224" i="6" s="1"/>
  <c r="BE226" i="6" l="1"/>
  <c r="BG225" i="6"/>
  <c r="BF225" i="6" s="1"/>
  <c r="BE227" i="6" l="1"/>
  <c r="BG226" i="6"/>
  <c r="BF226" i="6" s="1"/>
  <c r="BE228" i="6" l="1"/>
  <c r="BG227" i="6"/>
  <c r="BF227" i="6" s="1"/>
  <c r="BE229" i="6" l="1"/>
  <c r="BG228" i="6"/>
  <c r="BF228" i="6" s="1"/>
  <c r="BE230" i="6" l="1"/>
  <c r="BG229" i="6"/>
  <c r="BF229" i="6" s="1"/>
  <c r="BD1460" i="6" s="1"/>
  <c r="BE1460" i="6" s="1"/>
  <c r="BE231" i="6" l="1"/>
  <c r="BG230" i="6"/>
  <c r="BF230" i="6" s="1"/>
  <c r="BE232" i="6" l="1"/>
  <c r="BG231" i="6"/>
  <c r="BF231" i="6" s="1"/>
  <c r="BE233" i="6" l="1"/>
  <c r="BG232" i="6"/>
  <c r="BF232" i="6" s="1"/>
  <c r="BE234" i="6" l="1"/>
  <c r="BG233" i="6"/>
  <c r="BF233" i="6" s="1"/>
  <c r="BE235" i="6" l="1"/>
  <c r="BG234" i="6"/>
  <c r="BF234" i="6" s="1"/>
  <c r="BE236" i="6" l="1"/>
  <c r="BG235" i="6"/>
  <c r="BF235" i="6" s="1"/>
  <c r="BE237" i="6" l="1"/>
  <c r="BG236" i="6"/>
  <c r="BF236" i="6" s="1"/>
  <c r="BE238" i="6" l="1"/>
  <c r="BG237" i="6"/>
  <c r="BF237" i="6" s="1"/>
  <c r="BE239" i="6" l="1"/>
  <c r="BG238" i="6"/>
  <c r="BF238" i="6" s="1"/>
  <c r="BE240" i="6" l="1"/>
  <c r="BG239" i="6"/>
  <c r="BF239" i="6" s="1"/>
  <c r="BE241" i="6" l="1"/>
  <c r="BG240" i="6"/>
  <c r="BF240" i="6" s="1"/>
  <c r="BE242" i="6" l="1"/>
  <c r="BG241" i="6"/>
  <c r="BF241" i="6" s="1"/>
  <c r="BE243" i="6" l="1"/>
  <c r="BG242" i="6"/>
  <c r="BF242" i="6" s="1"/>
  <c r="BE244" i="6" l="1"/>
  <c r="BG243" i="6"/>
  <c r="BF243" i="6" s="1"/>
  <c r="BE245" i="6" l="1"/>
  <c r="BG244" i="6"/>
  <c r="BF244" i="6" s="1"/>
  <c r="BD1461" i="6" s="1"/>
  <c r="BE1461" i="6" s="1"/>
  <c r="BE246" i="6" l="1"/>
  <c r="BG245" i="6"/>
  <c r="BF245" i="6" s="1"/>
  <c r="BE247" i="6" l="1"/>
  <c r="BG246" i="6"/>
  <c r="BF246" i="6" s="1"/>
  <c r="BE248" i="6" l="1"/>
  <c r="BG247" i="6"/>
  <c r="BF247" i="6" s="1"/>
  <c r="BE249" i="6" l="1"/>
  <c r="BG248" i="6"/>
  <c r="BF248" i="6" s="1"/>
  <c r="BE250" i="6" l="1"/>
  <c r="BG249" i="6"/>
  <c r="BF249" i="6" s="1"/>
  <c r="BE251" i="6" l="1"/>
  <c r="BG250" i="6"/>
  <c r="BF250" i="6" s="1"/>
  <c r="BE252" i="6" l="1"/>
  <c r="BG251" i="6"/>
  <c r="BF251" i="6" s="1"/>
  <c r="BE253" i="6" l="1"/>
  <c r="BG252" i="6"/>
  <c r="BF252" i="6" s="1"/>
  <c r="BE254" i="6" l="1"/>
  <c r="BG253" i="6"/>
  <c r="BF253" i="6" s="1"/>
  <c r="BE255" i="6" l="1"/>
  <c r="BG254" i="6"/>
  <c r="BF254" i="6" s="1"/>
  <c r="BE256" i="6" l="1"/>
  <c r="BG255" i="6"/>
  <c r="BF255" i="6" s="1"/>
  <c r="BE257" i="6" l="1"/>
  <c r="BG256" i="6"/>
  <c r="BF256" i="6" s="1"/>
  <c r="BE258" i="6" l="1"/>
  <c r="BG257" i="6"/>
  <c r="BF257" i="6" s="1"/>
  <c r="BE259" i="6" l="1"/>
  <c r="BG258" i="6"/>
  <c r="BF258" i="6" s="1"/>
  <c r="BE260" i="6" l="1"/>
  <c r="BG259" i="6"/>
  <c r="BF259" i="6" s="1"/>
  <c r="BD1462" i="6" s="1"/>
  <c r="BE1462" i="6" s="1"/>
  <c r="BE261" i="6" l="1"/>
  <c r="BG260" i="6"/>
  <c r="BF260" i="6" s="1"/>
  <c r="BE262" i="6" l="1"/>
  <c r="BG261" i="6"/>
  <c r="BF261" i="6" s="1"/>
  <c r="BE263" i="6" l="1"/>
  <c r="BG262" i="6"/>
  <c r="BF262" i="6" s="1"/>
  <c r="BE264" i="6" l="1"/>
  <c r="BG263" i="6"/>
  <c r="BF263" i="6" s="1"/>
  <c r="BE265" i="6" l="1"/>
  <c r="BG264" i="6"/>
  <c r="BF264" i="6" s="1"/>
  <c r="BE266" i="6" l="1"/>
  <c r="BG265" i="6"/>
  <c r="BF265" i="6" s="1"/>
  <c r="BE267" i="6" l="1"/>
  <c r="BG266" i="6"/>
  <c r="BF266" i="6" s="1"/>
  <c r="BE268" i="6" l="1"/>
  <c r="BG267" i="6"/>
  <c r="BF267" i="6" s="1"/>
  <c r="BE269" i="6" l="1"/>
  <c r="BG268" i="6"/>
  <c r="BF268" i="6" s="1"/>
  <c r="BE270" i="6" l="1"/>
  <c r="BG269" i="6"/>
  <c r="BF269" i="6" s="1"/>
  <c r="BE271" i="6" l="1"/>
  <c r="BG270" i="6"/>
  <c r="BF270" i="6" s="1"/>
  <c r="BE272" i="6" l="1"/>
  <c r="BG271" i="6"/>
  <c r="BF271" i="6" s="1"/>
  <c r="BE273" i="6" l="1"/>
  <c r="BG272" i="6"/>
  <c r="BF272" i="6" s="1"/>
  <c r="BE274" i="6" l="1"/>
  <c r="BG273" i="6"/>
  <c r="BF273" i="6" s="1"/>
  <c r="BE275" i="6" l="1"/>
  <c r="BG274" i="6"/>
  <c r="BF274" i="6" s="1"/>
  <c r="BD1463" i="6" s="1"/>
  <c r="BE1463" i="6" s="1"/>
  <c r="BE276" i="6" l="1"/>
  <c r="BG275" i="6"/>
  <c r="BF275" i="6" s="1"/>
  <c r="BE277" i="6" l="1"/>
  <c r="BG276" i="6"/>
  <c r="BF276" i="6" s="1"/>
  <c r="BE278" i="6" l="1"/>
  <c r="BG277" i="6"/>
  <c r="BF277" i="6" s="1"/>
  <c r="BE279" i="6" l="1"/>
  <c r="BG278" i="6"/>
  <c r="BF278" i="6" s="1"/>
  <c r="BE280" i="6" l="1"/>
  <c r="BG279" i="6"/>
  <c r="BF279" i="6" s="1"/>
  <c r="BE281" i="6" l="1"/>
  <c r="BG280" i="6"/>
  <c r="BF280" i="6" s="1"/>
  <c r="BE282" i="6" l="1"/>
  <c r="BG281" i="6"/>
  <c r="BF281" i="6" s="1"/>
  <c r="BE283" i="6" l="1"/>
  <c r="BG282" i="6"/>
  <c r="BF282" i="6" s="1"/>
  <c r="BE284" i="6" l="1"/>
  <c r="BG283" i="6"/>
  <c r="BF283" i="6" s="1"/>
  <c r="BE285" i="6" l="1"/>
  <c r="BG284" i="6"/>
  <c r="BF284" i="6" s="1"/>
  <c r="BE286" i="6" l="1"/>
  <c r="BG285" i="6"/>
  <c r="BF285" i="6" s="1"/>
  <c r="BE287" i="6" l="1"/>
  <c r="BG286" i="6"/>
  <c r="BF286" i="6" s="1"/>
  <c r="BE288" i="6" l="1"/>
  <c r="BG287" i="6"/>
  <c r="BF287" i="6" s="1"/>
  <c r="BE289" i="6" l="1"/>
  <c r="BG288" i="6"/>
  <c r="BF288" i="6" s="1"/>
  <c r="BE290" i="6" l="1"/>
  <c r="BG289" i="6"/>
  <c r="BF289" i="6" s="1"/>
  <c r="BD1464" i="6" s="1"/>
  <c r="BE1464" i="6" s="1"/>
  <c r="BE291" i="6" l="1"/>
  <c r="BG290" i="6"/>
  <c r="BF290" i="6" s="1"/>
  <c r="BE292" i="6" l="1"/>
  <c r="BG291" i="6"/>
  <c r="BF291" i="6" s="1"/>
  <c r="BE293" i="6" l="1"/>
  <c r="BG292" i="6"/>
  <c r="BF292" i="6" s="1"/>
  <c r="BE294" i="6" l="1"/>
  <c r="BG293" i="6"/>
  <c r="BF293" i="6" s="1"/>
  <c r="BE295" i="6" l="1"/>
  <c r="BG294" i="6"/>
  <c r="BF294" i="6" s="1"/>
  <c r="BE296" i="6" l="1"/>
  <c r="BG295" i="6"/>
  <c r="BF295" i="6" s="1"/>
  <c r="BE297" i="6" l="1"/>
  <c r="BG296" i="6"/>
  <c r="BF296" i="6" s="1"/>
  <c r="BE298" i="6" l="1"/>
  <c r="BG297" i="6"/>
  <c r="BF297" i="6" s="1"/>
  <c r="BE299" i="6" l="1"/>
  <c r="BG298" i="6"/>
  <c r="BF298" i="6" s="1"/>
  <c r="BE300" i="6" l="1"/>
  <c r="BG299" i="6"/>
  <c r="BF299" i="6" s="1"/>
  <c r="BE301" i="6" l="1"/>
  <c r="BG300" i="6"/>
  <c r="BF300" i="6" s="1"/>
  <c r="BE302" i="6" l="1"/>
  <c r="BG301" i="6"/>
  <c r="BF301" i="6" s="1"/>
  <c r="BE303" i="6" l="1"/>
  <c r="BG302" i="6"/>
  <c r="BF302" i="6" s="1"/>
  <c r="BE304" i="6" l="1"/>
  <c r="BG303" i="6"/>
  <c r="BF303" i="6" s="1"/>
  <c r="BE305" i="6" l="1"/>
  <c r="BG304" i="6"/>
  <c r="BF304" i="6" s="1"/>
  <c r="BD1465" i="6" s="1"/>
  <c r="BE1465" i="6" s="1"/>
  <c r="BE306" i="6" l="1"/>
  <c r="BG305" i="6"/>
  <c r="BF305" i="6" s="1"/>
  <c r="BE307" i="6" l="1"/>
  <c r="BG306" i="6"/>
  <c r="BF306" i="6" s="1"/>
  <c r="BE308" i="6" l="1"/>
  <c r="BG307" i="6"/>
  <c r="BF307" i="6" s="1"/>
  <c r="BE309" i="6" l="1"/>
  <c r="BG308" i="6"/>
  <c r="BF308" i="6" s="1"/>
  <c r="BE310" i="6" l="1"/>
  <c r="BG309" i="6"/>
  <c r="BF309" i="6" s="1"/>
  <c r="BE311" i="6" l="1"/>
  <c r="BG310" i="6"/>
  <c r="BF310" i="6" s="1"/>
  <c r="BE312" i="6" l="1"/>
  <c r="BG311" i="6"/>
  <c r="BF311" i="6" s="1"/>
  <c r="BE313" i="6" l="1"/>
  <c r="BG312" i="6"/>
  <c r="BF312" i="6" s="1"/>
  <c r="BE314" i="6" l="1"/>
  <c r="BG313" i="6"/>
  <c r="BF313" i="6" s="1"/>
  <c r="BE315" i="6" l="1"/>
  <c r="BG314" i="6"/>
  <c r="BF314" i="6" s="1"/>
  <c r="BE316" i="6" l="1"/>
  <c r="BG315" i="6"/>
  <c r="BF315" i="6" s="1"/>
  <c r="BE317" i="6" l="1"/>
  <c r="BG316" i="6"/>
  <c r="BF316" i="6" s="1"/>
  <c r="BE318" i="6" l="1"/>
  <c r="BG317" i="6"/>
  <c r="BF317" i="6" s="1"/>
  <c r="BE319" i="6" l="1"/>
  <c r="BG318" i="6"/>
  <c r="BF318" i="6" s="1"/>
  <c r="BE320" i="6" l="1"/>
  <c r="BG319" i="6"/>
  <c r="BF319" i="6" s="1"/>
  <c r="BD1466" i="6" s="1"/>
  <c r="BE1466" i="6" s="1"/>
  <c r="BE321" i="6" l="1"/>
  <c r="BG320" i="6"/>
  <c r="BF320" i="6" s="1"/>
  <c r="BE322" i="6" l="1"/>
  <c r="BG321" i="6"/>
  <c r="BF321" i="6" s="1"/>
  <c r="BE323" i="6" l="1"/>
  <c r="BG322" i="6"/>
  <c r="BF322" i="6" s="1"/>
  <c r="BE324" i="6" l="1"/>
  <c r="BG323" i="6"/>
  <c r="BF323" i="6" s="1"/>
  <c r="BE325" i="6" l="1"/>
  <c r="BG324" i="6"/>
  <c r="BF324" i="6" s="1"/>
  <c r="BE326" i="6" l="1"/>
  <c r="BG325" i="6"/>
  <c r="BF325" i="6" s="1"/>
  <c r="BE327" i="6" l="1"/>
  <c r="BG326" i="6"/>
  <c r="BF326" i="6" s="1"/>
  <c r="BE328" i="6" l="1"/>
  <c r="BG327" i="6"/>
  <c r="BF327" i="6" s="1"/>
  <c r="BE329" i="6" l="1"/>
  <c r="BG328" i="6"/>
  <c r="BF328" i="6" s="1"/>
  <c r="BE330" i="6" l="1"/>
  <c r="BG329" i="6"/>
  <c r="BF329" i="6" s="1"/>
  <c r="BE331" i="6" l="1"/>
  <c r="BG330" i="6"/>
  <c r="BF330" i="6" s="1"/>
  <c r="BE332" i="6" l="1"/>
  <c r="BG331" i="6"/>
  <c r="BF331" i="6" s="1"/>
  <c r="BE333" i="6" l="1"/>
  <c r="BG332" i="6"/>
  <c r="BF332" i="6" s="1"/>
  <c r="BE334" i="6" l="1"/>
  <c r="BG333" i="6"/>
  <c r="BF333" i="6" s="1"/>
  <c r="BE335" i="6" l="1"/>
  <c r="BG334" i="6"/>
  <c r="BF334" i="6" s="1"/>
  <c r="BD1467" i="6" s="1"/>
  <c r="BE1467" i="6" s="1"/>
  <c r="BE336" i="6" l="1"/>
  <c r="BG335" i="6"/>
  <c r="BF335" i="6" s="1"/>
  <c r="BE337" i="6" l="1"/>
  <c r="BG336" i="6"/>
  <c r="BF336" i="6" s="1"/>
  <c r="BE338" i="6" l="1"/>
  <c r="BG337" i="6"/>
  <c r="BF337" i="6" s="1"/>
  <c r="BE339" i="6" l="1"/>
  <c r="BG338" i="6"/>
  <c r="BF338" i="6" s="1"/>
  <c r="BE340" i="6" l="1"/>
  <c r="BG339" i="6"/>
  <c r="BF339" i="6" s="1"/>
  <c r="BE341" i="6" l="1"/>
  <c r="BG340" i="6"/>
  <c r="BF340" i="6" s="1"/>
  <c r="BE342" i="6" l="1"/>
  <c r="BG341" i="6"/>
  <c r="BF341" i="6" s="1"/>
  <c r="BE343" i="6" l="1"/>
  <c r="BG342" i="6"/>
  <c r="BF342" i="6" s="1"/>
  <c r="BE344" i="6" l="1"/>
  <c r="BG343" i="6"/>
  <c r="BF343" i="6" s="1"/>
  <c r="BE345" i="6" l="1"/>
  <c r="BG344" i="6"/>
  <c r="BF344" i="6" s="1"/>
  <c r="BE346" i="6" l="1"/>
  <c r="BG345" i="6"/>
  <c r="BF345" i="6" s="1"/>
  <c r="BE347" i="6" l="1"/>
  <c r="BG346" i="6"/>
  <c r="BF346" i="6" s="1"/>
  <c r="BE348" i="6" l="1"/>
  <c r="BG347" i="6"/>
  <c r="BF347" i="6" s="1"/>
  <c r="BE349" i="6" l="1"/>
  <c r="BG348" i="6"/>
  <c r="BF348" i="6" s="1"/>
  <c r="BE350" i="6" l="1"/>
  <c r="BG349" i="6"/>
  <c r="BF349" i="6" s="1"/>
  <c r="BD1468" i="6" s="1"/>
  <c r="BE1468" i="6" s="1"/>
  <c r="BE351" i="6" l="1"/>
  <c r="BG350" i="6"/>
  <c r="BF350" i="6" s="1"/>
  <c r="BE352" i="6" l="1"/>
  <c r="BG351" i="6"/>
  <c r="BF351" i="6" s="1"/>
  <c r="BE353" i="6" l="1"/>
  <c r="BG352" i="6"/>
  <c r="BF352" i="6" s="1"/>
  <c r="BE354" i="6" l="1"/>
  <c r="BG353" i="6"/>
  <c r="BF353" i="6" s="1"/>
  <c r="BE355" i="6" l="1"/>
  <c r="BG354" i="6"/>
  <c r="BF354" i="6" s="1"/>
  <c r="BE356" i="6" l="1"/>
  <c r="BG355" i="6"/>
  <c r="BF355" i="6" s="1"/>
  <c r="BE357" i="6" l="1"/>
  <c r="BG356" i="6"/>
  <c r="BF356" i="6" s="1"/>
  <c r="BE358" i="6" l="1"/>
  <c r="BG357" i="6"/>
  <c r="BF357" i="6" s="1"/>
  <c r="BE359" i="6" l="1"/>
  <c r="BG358" i="6"/>
  <c r="BF358" i="6" s="1"/>
  <c r="BE360" i="6" l="1"/>
  <c r="BG359" i="6"/>
  <c r="BF359" i="6" s="1"/>
  <c r="BE361" i="6" l="1"/>
  <c r="BG360" i="6"/>
  <c r="BF360" i="6" s="1"/>
  <c r="BE362" i="6" l="1"/>
  <c r="BG361" i="6"/>
  <c r="BF361" i="6" s="1"/>
  <c r="BE363" i="6" l="1"/>
  <c r="BG362" i="6"/>
  <c r="BF362" i="6" s="1"/>
  <c r="BE364" i="6" l="1"/>
  <c r="BG363" i="6"/>
  <c r="BF363" i="6" s="1"/>
  <c r="BE365" i="6" l="1"/>
  <c r="BG364" i="6"/>
  <c r="BF364" i="6" s="1"/>
  <c r="BD1469" i="6" s="1"/>
  <c r="BE1469" i="6" s="1"/>
  <c r="BE366" i="6" l="1"/>
  <c r="BG365" i="6"/>
  <c r="BF365" i="6" s="1"/>
  <c r="BE367" i="6" l="1"/>
  <c r="BG366" i="6"/>
  <c r="BF366" i="6" s="1"/>
  <c r="BE368" i="6" l="1"/>
  <c r="BG367" i="6"/>
  <c r="BF367" i="6" s="1"/>
  <c r="BE369" i="6" l="1"/>
  <c r="BG368" i="6"/>
  <c r="BF368" i="6" s="1"/>
  <c r="BE370" i="6" l="1"/>
  <c r="BG369" i="6"/>
  <c r="BF369" i="6" s="1"/>
  <c r="BE371" i="6" l="1"/>
  <c r="BG370" i="6"/>
  <c r="BF370" i="6" s="1"/>
  <c r="BE372" i="6" l="1"/>
  <c r="BG371" i="6"/>
  <c r="BF371" i="6" s="1"/>
  <c r="BE373" i="6" l="1"/>
  <c r="BG372" i="6"/>
  <c r="BF372" i="6" s="1"/>
  <c r="BE374" i="6" l="1"/>
  <c r="BG373" i="6"/>
  <c r="BF373" i="6" s="1"/>
  <c r="BE375" i="6" l="1"/>
  <c r="BG374" i="6"/>
  <c r="BF374" i="6" s="1"/>
  <c r="BE376" i="6" l="1"/>
  <c r="BG375" i="6"/>
  <c r="BF375" i="6" s="1"/>
  <c r="BE377" i="6" l="1"/>
  <c r="BG376" i="6"/>
  <c r="BF376" i="6" s="1"/>
  <c r="BE378" i="6" l="1"/>
  <c r="BG377" i="6"/>
  <c r="BF377" i="6" s="1"/>
  <c r="BE379" i="6" l="1"/>
  <c r="BG378" i="6"/>
  <c r="BF378" i="6" s="1"/>
  <c r="BE380" i="6" l="1"/>
  <c r="BG379" i="6"/>
  <c r="BF379" i="6" s="1"/>
  <c r="BD1470" i="6" s="1"/>
  <c r="BE1470" i="6" s="1"/>
  <c r="BE381" i="6" l="1"/>
  <c r="BG380" i="6"/>
  <c r="BF380" i="6" s="1"/>
  <c r="BE382" i="6" l="1"/>
  <c r="BG381" i="6"/>
  <c r="BF381" i="6" s="1"/>
  <c r="BE383" i="6" l="1"/>
  <c r="BG382" i="6"/>
  <c r="BF382" i="6" s="1"/>
  <c r="BE384" i="6" l="1"/>
  <c r="BG383" i="6"/>
  <c r="BF383" i="6" s="1"/>
  <c r="BE385" i="6" l="1"/>
  <c r="BG384" i="6"/>
  <c r="BF384" i="6" s="1"/>
  <c r="BE386" i="6" l="1"/>
  <c r="BG385" i="6"/>
  <c r="BF385" i="6" s="1"/>
  <c r="BE387" i="6" l="1"/>
  <c r="BG386" i="6"/>
  <c r="BF386" i="6" s="1"/>
  <c r="BE388" i="6" l="1"/>
  <c r="BG387" i="6"/>
  <c r="BF387" i="6" s="1"/>
  <c r="BE389" i="6" l="1"/>
  <c r="BG388" i="6"/>
  <c r="BF388" i="6" s="1"/>
  <c r="BE390" i="6" l="1"/>
  <c r="BG389" i="6"/>
  <c r="BF389" i="6" s="1"/>
  <c r="BE391" i="6" l="1"/>
  <c r="BG390" i="6"/>
  <c r="BF390" i="6" s="1"/>
  <c r="BE392" i="6" l="1"/>
  <c r="BG391" i="6"/>
  <c r="BF391" i="6" s="1"/>
  <c r="BE393" i="6" l="1"/>
  <c r="BG392" i="6"/>
  <c r="BF392" i="6" s="1"/>
  <c r="BE394" i="6" l="1"/>
  <c r="BG393" i="6"/>
  <c r="BF393" i="6" s="1"/>
  <c r="BE395" i="6" l="1"/>
  <c r="BG394" i="6"/>
  <c r="BF394" i="6" s="1"/>
  <c r="BD1471" i="6" s="1"/>
  <c r="BE1471" i="6" s="1"/>
  <c r="BE396" i="6" l="1"/>
  <c r="BG395" i="6"/>
  <c r="BF395" i="6" s="1"/>
  <c r="BE397" i="6" l="1"/>
  <c r="BG396" i="6"/>
  <c r="BF396" i="6" s="1"/>
  <c r="BE398" i="6" l="1"/>
  <c r="BG397" i="6"/>
  <c r="BF397" i="6" s="1"/>
  <c r="BE399" i="6" l="1"/>
  <c r="BG398" i="6"/>
  <c r="BF398" i="6" s="1"/>
  <c r="BE400" i="6" l="1"/>
  <c r="BG399" i="6"/>
  <c r="BF399" i="6" s="1"/>
  <c r="BE401" i="6" l="1"/>
  <c r="BG400" i="6"/>
  <c r="BF400" i="6" s="1"/>
  <c r="BE402" i="6" l="1"/>
  <c r="BG401" i="6"/>
  <c r="BF401" i="6" s="1"/>
  <c r="BE403" i="6" l="1"/>
  <c r="BG402" i="6"/>
  <c r="BF402" i="6" s="1"/>
  <c r="BE404" i="6" l="1"/>
  <c r="BG403" i="6"/>
  <c r="BF403" i="6" s="1"/>
  <c r="BE405" i="6" l="1"/>
  <c r="BG404" i="6"/>
  <c r="BF404" i="6" s="1"/>
  <c r="BE406" i="6" l="1"/>
  <c r="BG405" i="6"/>
  <c r="BF405" i="6" s="1"/>
  <c r="BE407" i="6" l="1"/>
  <c r="BG406" i="6"/>
  <c r="BF406" i="6" s="1"/>
  <c r="BE408" i="6" l="1"/>
  <c r="BG407" i="6"/>
  <c r="BF407" i="6" s="1"/>
  <c r="BE409" i="6" l="1"/>
  <c r="BG408" i="6"/>
  <c r="BF408" i="6" s="1"/>
  <c r="BE410" i="6" l="1"/>
  <c r="BG409" i="6"/>
  <c r="BF409" i="6" s="1"/>
  <c r="BD1472" i="6" s="1"/>
  <c r="BE1472" i="6" s="1"/>
  <c r="BE411" i="6" l="1"/>
  <c r="BG410" i="6"/>
  <c r="BF410" i="6" s="1"/>
  <c r="BE412" i="6" l="1"/>
  <c r="BG411" i="6"/>
  <c r="BF411" i="6" s="1"/>
  <c r="BE413" i="6" l="1"/>
  <c r="BG412" i="6"/>
  <c r="BF412" i="6" s="1"/>
  <c r="BE414" i="6" l="1"/>
  <c r="BG413" i="6"/>
  <c r="BF413" i="6" s="1"/>
  <c r="BE415" i="6" l="1"/>
  <c r="BG414" i="6"/>
  <c r="BF414" i="6" s="1"/>
  <c r="BE416" i="6" l="1"/>
  <c r="BG415" i="6"/>
  <c r="BF415" i="6" s="1"/>
  <c r="BE417" i="6" l="1"/>
  <c r="BG416" i="6"/>
  <c r="BF416" i="6" s="1"/>
  <c r="BE418" i="6" l="1"/>
  <c r="BG417" i="6"/>
  <c r="BF417" i="6" s="1"/>
  <c r="BE419" i="6" l="1"/>
  <c r="BG418" i="6"/>
  <c r="BF418" i="6" s="1"/>
  <c r="BE420" i="6" l="1"/>
  <c r="BG419" i="6"/>
  <c r="BF419" i="6" s="1"/>
  <c r="BE421" i="6" l="1"/>
  <c r="BG420" i="6"/>
  <c r="BF420" i="6" s="1"/>
  <c r="BE422" i="6" l="1"/>
  <c r="BG421" i="6"/>
  <c r="BF421" i="6" s="1"/>
  <c r="BE423" i="6" l="1"/>
  <c r="BG422" i="6"/>
  <c r="BF422" i="6" s="1"/>
  <c r="BE424" i="6" l="1"/>
  <c r="BG423" i="6"/>
  <c r="BF423" i="6" s="1"/>
  <c r="BE425" i="6" l="1"/>
  <c r="BG424" i="6"/>
  <c r="BF424" i="6" s="1"/>
  <c r="BD1473" i="6" s="1"/>
  <c r="BE1473" i="6" s="1"/>
  <c r="BE426" i="6" l="1"/>
  <c r="BG425" i="6"/>
  <c r="BF425" i="6" s="1"/>
  <c r="BE427" i="6" l="1"/>
  <c r="BG426" i="6"/>
  <c r="BF426" i="6" s="1"/>
  <c r="BE428" i="6" l="1"/>
  <c r="BG427" i="6"/>
  <c r="BF427" i="6" s="1"/>
  <c r="BE429" i="6" l="1"/>
  <c r="BG428" i="6"/>
  <c r="BF428" i="6" s="1"/>
  <c r="BE430" i="6" l="1"/>
  <c r="BG429" i="6"/>
  <c r="BF429" i="6" s="1"/>
  <c r="BE431" i="6" l="1"/>
  <c r="BG430" i="6"/>
  <c r="BF430" i="6" s="1"/>
  <c r="BE432" i="6" l="1"/>
  <c r="BG431" i="6"/>
  <c r="BF431" i="6" s="1"/>
  <c r="BE433" i="6" l="1"/>
  <c r="BG432" i="6"/>
  <c r="BF432" i="6" s="1"/>
  <c r="BE434" i="6" l="1"/>
  <c r="BG433" i="6"/>
  <c r="BF433" i="6" s="1"/>
  <c r="BE435" i="6" l="1"/>
  <c r="BG434" i="6"/>
  <c r="BF434" i="6" s="1"/>
  <c r="BE436" i="6" l="1"/>
  <c r="BG435" i="6"/>
  <c r="BF435" i="6" s="1"/>
  <c r="BE437" i="6" l="1"/>
  <c r="BG436" i="6"/>
  <c r="BF436" i="6" s="1"/>
  <c r="BE438" i="6" l="1"/>
  <c r="BG437" i="6"/>
  <c r="BF437" i="6" s="1"/>
  <c r="BE439" i="6" l="1"/>
  <c r="BG438" i="6"/>
  <c r="BF438" i="6" s="1"/>
  <c r="BE440" i="6" l="1"/>
  <c r="BG439" i="6"/>
  <c r="BF439" i="6" s="1"/>
  <c r="BD1474" i="6" s="1"/>
  <c r="BE1474" i="6" s="1"/>
  <c r="BE441" i="6" l="1"/>
  <c r="BG440" i="6"/>
  <c r="BF440" i="6" s="1"/>
  <c r="BE442" i="6" l="1"/>
  <c r="BG441" i="6"/>
  <c r="BF441" i="6" s="1"/>
  <c r="BE443" i="6" l="1"/>
  <c r="BG442" i="6"/>
  <c r="BF442" i="6" s="1"/>
  <c r="BE444" i="6" l="1"/>
  <c r="BG443" i="6"/>
  <c r="BF443" i="6" s="1"/>
  <c r="BE445" i="6" l="1"/>
  <c r="BG444" i="6"/>
  <c r="BF444" i="6" s="1"/>
  <c r="BE446" i="6" l="1"/>
  <c r="BG445" i="6"/>
  <c r="BF445" i="6" s="1"/>
  <c r="BE447" i="6" l="1"/>
  <c r="BG446" i="6"/>
  <c r="BF446" i="6" s="1"/>
  <c r="BE448" i="6" l="1"/>
  <c r="BG447" i="6"/>
  <c r="BF447" i="6" s="1"/>
  <c r="BE449" i="6" l="1"/>
  <c r="BG448" i="6"/>
  <c r="BF448" i="6" s="1"/>
  <c r="BE450" i="6" l="1"/>
  <c r="BG449" i="6"/>
  <c r="BF449" i="6" s="1"/>
  <c r="BE451" i="6" l="1"/>
  <c r="BG450" i="6"/>
  <c r="BF450" i="6" s="1"/>
  <c r="BE452" i="6" l="1"/>
  <c r="BG451" i="6"/>
  <c r="BF451" i="6" s="1"/>
  <c r="BE453" i="6" l="1"/>
  <c r="BG452" i="6"/>
  <c r="BF452" i="6" s="1"/>
  <c r="BE454" i="6" l="1"/>
  <c r="BG453" i="6"/>
  <c r="BF453" i="6" s="1"/>
  <c r="BE455" i="6" l="1"/>
  <c r="BG454" i="6"/>
  <c r="BF454" i="6" s="1"/>
  <c r="BD1475" i="6" s="1"/>
  <c r="BE1475" i="6" s="1"/>
  <c r="BE456" i="6" l="1"/>
  <c r="BG455" i="6"/>
  <c r="BF455" i="6" s="1"/>
  <c r="BE457" i="6" l="1"/>
  <c r="BG456" i="6"/>
  <c r="BF456" i="6" s="1"/>
  <c r="BE458" i="6" l="1"/>
  <c r="BG457" i="6"/>
  <c r="BF457" i="6" s="1"/>
  <c r="BE459" i="6" l="1"/>
  <c r="BG458" i="6"/>
  <c r="BF458" i="6" s="1"/>
  <c r="BE460" i="6" l="1"/>
  <c r="BG459" i="6"/>
  <c r="BF459" i="6" s="1"/>
  <c r="BE461" i="6" l="1"/>
  <c r="BG460" i="6"/>
  <c r="BF460" i="6" s="1"/>
  <c r="BE462" i="6" l="1"/>
  <c r="BG461" i="6"/>
  <c r="BF461" i="6" s="1"/>
  <c r="BE463" i="6" l="1"/>
  <c r="BG462" i="6"/>
  <c r="BF462" i="6" s="1"/>
  <c r="BE464" i="6" l="1"/>
  <c r="BG463" i="6"/>
  <c r="BF463" i="6" s="1"/>
  <c r="BE465" i="6" l="1"/>
  <c r="BG464" i="6"/>
  <c r="BF464" i="6" s="1"/>
  <c r="BE466" i="6" l="1"/>
  <c r="BG465" i="6"/>
  <c r="BF465" i="6" s="1"/>
  <c r="BE467" i="6" l="1"/>
  <c r="BG466" i="6"/>
  <c r="BF466" i="6" s="1"/>
  <c r="BE468" i="6" l="1"/>
  <c r="BG467" i="6"/>
  <c r="BF467" i="6" s="1"/>
  <c r="BE469" i="6" l="1"/>
  <c r="BG468" i="6"/>
  <c r="BF468" i="6" s="1"/>
  <c r="BE470" i="6" l="1"/>
  <c r="BG469" i="6"/>
  <c r="BF469" i="6" s="1"/>
  <c r="BD1476" i="6" s="1"/>
  <c r="BE1476" i="6" s="1"/>
  <c r="BE471" i="6" l="1"/>
  <c r="BG470" i="6"/>
  <c r="BF470" i="6" s="1"/>
  <c r="BE472" i="6" l="1"/>
  <c r="BG471" i="6"/>
  <c r="BF471" i="6" s="1"/>
  <c r="BE473" i="6" l="1"/>
  <c r="BG472" i="6"/>
  <c r="BF472" i="6" s="1"/>
  <c r="BE474" i="6" l="1"/>
  <c r="BG473" i="6"/>
  <c r="BF473" i="6" s="1"/>
  <c r="BE475" i="6" l="1"/>
  <c r="BG474" i="6"/>
  <c r="BF474" i="6" s="1"/>
  <c r="BE476" i="6" l="1"/>
  <c r="BG475" i="6"/>
  <c r="BF475" i="6" s="1"/>
  <c r="BE477" i="6" l="1"/>
  <c r="BG476" i="6"/>
  <c r="BF476" i="6" s="1"/>
  <c r="BE478" i="6" l="1"/>
  <c r="BG477" i="6"/>
  <c r="BF477" i="6" s="1"/>
  <c r="BE479" i="6" l="1"/>
  <c r="BG478" i="6"/>
  <c r="BF478" i="6" s="1"/>
  <c r="BE480" i="6" l="1"/>
  <c r="BG479" i="6"/>
  <c r="BF479" i="6" s="1"/>
  <c r="BE481" i="6" l="1"/>
  <c r="BG480" i="6"/>
  <c r="BF480" i="6" s="1"/>
  <c r="BE482" i="6" l="1"/>
  <c r="BG481" i="6"/>
  <c r="BF481" i="6" s="1"/>
  <c r="BE483" i="6" l="1"/>
  <c r="BG482" i="6"/>
  <c r="BF482" i="6" s="1"/>
  <c r="BE484" i="6" l="1"/>
  <c r="BG483" i="6"/>
  <c r="BF483" i="6" s="1"/>
  <c r="BE485" i="6" l="1"/>
  <c r="BG484" i="6"/>
  <c r="BF484" i="6" s="1"/>
  <c r="BD1477" i="6" s="1"/>
  <c r="BE1477" i="6" s="1"/>
  <c r="BE486" i="6" l="1"/>
  <c r="BG485" i="6"/>
  <c r="BF485" i="6" s="1"/>
  <c r="BE487" i="6" l="1"/>
  <c r="BG486" i="6"/>
  <c r="BF486" i="6" s="1"/>
  <c r="BE488" i="6" l="1"/>
  <c r="BG487" i="6"/>
  <c r="BF487" i="6" s="1"/>
  <c r="BE489" i="6" l="1"/>
  <c r="BG488" i="6"/>
  <c r="BF488" i="6" s="1"/>
  <c r="BE490" i="6" l="1"/>
  <c r="BG489" i="6"/>
  <c r="BF489" i="6" s="1"/>
  <c r="BE491" i="6" l="1"/>
  <c r="BG490" i="6"/>
  <c r="BF490" i="6" s="1"/>
  <c r="BE492" i="6" l="1"/>
  <c r="BG491" i="6"/>
  <c r="BF491" i="6" s="1"/>
  <c r="BE493" i="6" l="1"/>
  <c r="BG492" i="6"/>
  <c r="BF492" i="6" s="1"/>
  <c r="BE494" i="6" l="1"/>
  <c r="BG493" i="6"/>
  <c r="BF493" i="6" s="1"/>
  <c r="BE495" i="6" l="1"/>
  <c r="BG494" i="6"/>
  <c r="BF494" i="6" s="1"/>
  <c r="BE496" i="6" l="1"/>
  <c r="BG495" i="6"/>
  <c r="BF495" i="6" s="1"/>
  <c r="BE497" i="6" l="1"/>
  <c r="BG496" i="6"/>
  <c r="BF496" i="6" s="1"/>
  <c r="BE498" i="6" l="1"/>
  <c r="BG497" i="6"/>
  <c r="BF497" i="6" s="1"/>
  <c r="BE499" i="6" l="1"/>
  <c r="BG498" i="6"/>
  <c r="BF498" i="6" s="1"/>
  <c r="BE500" i="6" l="1"/>
  <c r="BG499" i="6"/>
  <c r="BF499" i="6" s="1"/>
  <c r="BD1478" i="6" s="1"/>
  <c r="BE1478" i="6" s="1"/>
  <c r="BE501" i="6" l="1"/>
  <c r="BG500" i="6"/>
  <c r="BF500" i="6" s="1"/>
  <c r="BE502" i="6" l="1"/>
  <c r="BG501" i="6"/>
  <c r="BF501" i="6" s="1"/>
  <c r="BE503" i="6" l="1"/>
  <c r="BG502" i="6"/>
  <c r="BF502" i="6" s="1"/>
  <c r="BE504" i="6" l="1"/>
  <c r="BG503" i="6"/>
  <c r="BF503" i="6" s="1"/>
  <c r="BE505" i="6" l="1"/>
  <c r="BG504" i="6"/>
  <c r="BF504" i="6" s="1"/>
  <c r="BE506" i="6" l="1"/>
  <c r="BG505" i="6"/>
  <c r="BF505" i="6" s="1"/>
  <c r="BE507" i="6" l="1"/>
  <c r="BG506" i="6"/>
  <c r="BF506" i="6" s="1"/>
  <c r="BE508" i="6" l="1"/>
  <c r="BG507" i="6"/>
  <c r="BF507" i="6" s="1"/>
  <c r="BE509" i="6" l="1"/>
  <c r="BG508" i="6"/>
  <c r="BF508" i="6" s="1"/>
  <c r="BE510" i="6" l="1"/>
  <c r="BG509" i="6"/>
  <c r="BF509" i="6" s="1"/>
  <c r="BE511" i="6" l="1"/>
  <c r="BG510" i="6"/>
  <c r="BF510" i="6" s="1"/>
  <c r="BE512" i="6" l="1"/>
  <c r="BG511" i="6"/>
  <c r="BF511" i="6" s="1"/>
  <c r="BE513" i="6" l="1"/>
  <c r="BG512" i="6"/>
  <c r="BF512" i="6" s="1"/>
  <c r="BE514" i="6" l="1"/>
  <c r="BG513" i="6"/>
  <c r="BF513" i="6" s="1"/>
  <c r="BE515" i="6" l="1"/>
  <c r="BG514" i="6"/>
  <c r="BF514" i="6" s="1"/>
  <c r="BD1479" i="6" s="1"/>
  <c r="BE1479" i="6" s="1"/>
  <c r="BE516" i="6" l="1"/>
  <c r="BG515" i="6"/>
  <c r="BF515" i="6" s="1"/>
  <c r="BE517" i="6" l="1"/>
  <c r="BG516" i="6"/>
  <c r="BF516" i="6" s="1"/>
  <c r="BE518" i="6" l="1"/>
  <c r="BG517" i="6"/>
  <c r="BF517" i="6" s="1"/>
  <c r="BE519" i="6" l="1"/>
  <c r="BG518" i="6"/>
  <c r="BF518" i="6" s="1"/>
  <c r="BE520" i="6" l="1"/>
  <c r="BG519" i="6"/>
  <c r="BF519" i="6" s="1"/>
  <c r="BE521" i="6" l="1"/>
  <c r="BG520" i="6"/>
  <c r="BF520" i="6" s="1"/>
  <c r="BE522" i="6" l="1"/>
  <c r="BG521" i="6"/>
  <c r="BF521" i="6" s="1"/>
  <c r="BE523" i="6" l="1"/>
  <c r="BG522" i="6"/>
  <c r="BF522" i="6" s="1"/>
  <c r="BE524" i="6" l="1"/>
  <c r="BG523" i="6"/>
  <c r="BF523" i="6" s="1"/>
  <c r="BE525" i="6" l="1"/>
  <c r="BG524" i="6"/>
  <c r="BF524" i="6" s="1"/>
  <c r="BE526" i="6" l="1"/>
  <c r="BG525" i="6"/>
  <c r="BF525" i="6" s="1"/>
  <c r="BE527" i="6" l="1"/>
  <c r="BG526" i="6"/>
  <c r="BF526" i="6" s="1"/>
  <c r="BE528" i="6" l="1"/>
  <c r="BG527" i="6"/>
  <c r="BF527" i="6" s="1"/>
  <c r="BE529" i="6" l="1"/>
  <c r="BG528" i="6"/>
  <c r="BF528" i="6" s="1"/>
  <c r="BE530" i="6" l="1"/>
  <c r="BG529" i="6"/>
  <c r="BF529" i="6" s="1"/>
  <c r="BD1480" i="6" s="1"/>
  <c r="BE1480" i="6" s="1"/>
  <c r="BE531" i="6" l="1"/>
  <c r="BG530" i="6"/>
  <c r="BF530" i="6" s="1"/>
  <c r="BE532" i="6" l="1"/>
  <c r="BG531" i="6"/>
  <c r="BF531" i="6" s="1"/>
  <c r="BE533" i="6" l="1"/>
  <c r="BG532" i="6"/>
  <c r="BF532" i="6" s="1"/>
  <c r="BE534" i="6" l="1"/>
  <c r="BG533" i="6"/>
  <c r="BF533" i="6" s="1"/>
  <c r="BE535" i="6" l="1"/>
  <c r="BG534" i="6"/>
  <c r="BF534" i="6" s="1"/>
  <c r="BE536" i="6" l="1"/>
  <c r="BG535" i="6"/>
  <c r="BF535" i="6" s="1"/>
  <c r="BE537" i="6" l="1"/>
  <c r="BG536" i="6"/>
  <c r="BF536" i="6" s="1"/>
  <c r="BE538" i="6" l="1"/>
  <c r="BG537" i="6"/>
  <c r="BF537" i="6" s="1"/>
  <c r="BE539" i="6" l="1"/>
  <c r="BG538" i="6"/>
  <c r="BF538" i="6" s="1"/>
  <c r="BE540" i="6" l="1"/>
  <c r="BG539" i="6"/>
  <c r="BF539" i="6" s="1"/>
  <c r="BE541" i="6" l="1"/>
  <c r="BG540" i="6"/>
  <c r="BF540" i="6" s="1"/>
  <c r="BE542" i="6" l="1"/>
  <c r="BG541" i="6"/>
  <c r="BF541" i="6" s="1"/>
  <c r="BE543" i="6" l="1"/>
  <c r="BG542" i="6"/>
  <c r="BF542" i="6" s="1"/>
  <c r="BE544" i="6" l="1"/>
  <c r="BG543" i="6"/>
  <c r="BF543" i="6" s="1"/>
  <c r="BE545" i="6" l="1"/>
  <c r="BG544" i="6"/>
  <c r="BF544" i="6" s="1"/>
  <c r="BD1481" i="6" s="1"/>
  <c r="BE1481" i="6" s="1"/>
  <c r="BE546" i="6" l="1"/>
  <c r="BG545" i="6"/>
  <c r="BF545" i="6" s="1"/>
  <c r="BE547" i="6" l="1"/>
  <c r="BG546" i="6"/>
  <c r="BF546" i="6" s="1"/>
  <c r="BE548" i="6" l="1"/>
  <c r="BG547" i="6"/>
  <c r="BF547" i="6" s="1"/>
  <c r="BE549" i="6" l="1"/>
  <c r="BG548" i="6"/>
  <c r="BF548" i="6" s="1"/>
  <c r="BE550" i="6" l="1"/>
  <c r="BG549" i="6"/>
  <c r="BF549" i="6" s="1"/>
  <c r="BE551" i="6" l="1"/>
  <c r="BG550" i="6"/>
  <c r="BF550" i="6" s="1"/>
  <c r="BE552" i="6" l="1"/>
  <c r="BG551" i="6"/>
  <c r="BF551" i="6" s="1"/>
  <c r="BE553" i="6" l="1"/>
  <c r="BG552" i="6"/>
  <c r="BF552" i="6" s="1"/>
  <c r="BE554" i="6" l="1"/>
  <c r="BG553" i="6"/>
  <c r="BF553" i="6" s="1"/>
  <c r="BE555" i="6" l="1"/>
  <c r="BG554" i="6"/>
  <c r="BF554" i="6" s="1"/>
  <c r="BE556" i="6" l="1"/>
  <c r="BG555" i="6"/>
  <c r="BF555" i="6" s="1"/>
  <c r="BE557" i="6" l="1"/>
  <c r="BG556" i="6"/>
  <c r="BF556" i="6" s="1"/>
  <c r="BE558" i="6" l="1"/>
  <c r="BG557" i="6"/>
  <c r="BF557" i="6" s="1"/>
  <c r="BE559" i="6" l="1"/>
  <c r="BG558" i="6"/>
  <c r="BF558" i="6" s="1"/>
  <c r="BE560" i="6" l="1"/>
  <c r="BG559" i="6"/>
  <c r="BF559" i="6" s="1"/>
  <c r="BD1482" i="6" s="1"/>
  <c r="BE1482" i="6" s="1"/>
  <c r="BE561" i="6" l="1"/>
  <c r="BG560" i="6"/>
  <c r="BF560" i="6" s="1"/>
  <c r="BE562" i="6" l="1"/>
  <c r="BG561" i="6"/>
  <c r="BF561" i="6" s="1"/>
  <c r="BE563" i="6" l="1"/>
  <c r="BG562" i="6"/>
  <c r="BF562" i="6" s="1"/>
  <c r="BE564" i="6" l="1"/>
  <c r="BG563" i="6"/>
  <c r="BF563" i="6" s="1"/>
  <c r="BE565" i="6" l="1"/>
  <c r="BG564" i="6"/>
  <c r="BF564" i="6" s="1"/>
  <c r="BE566" i="6" l="1"/>
  <c r="BG565" i="6"/>
  <c r="BF565" i="6" s="1"/>
  <c r="BE567" i="6" l="1"/>
  <c r="BG566" i="6"/>
  <c r="BF566" i="6" s="1"/>
  <c r="BE568" i="6" l="1"/>
  <c r="BG567" i="6"/>
  <c r="BF567" i="6" s="1"/>
  <c r="BE569" i="6" l="1"/>
  <c r="BG568" i="6"/>
  <c r="BF568" i="6" s="1"/>
  <c r="BE570" i="6" l="1"/>
  <c r="BG569" i="6"/>
  <c r="BF569" i="6" s="1"/>
  <c r="BE571" i="6" l="1"/>
  <c r="BG570" i="6"/>
  <c r="BF570" i="6" s="1"/>
  <c r="BE572" i="6" l="1"/>
  <c r="BG571" i="6"/>
  <c r="BF571" i="6" s="1"/>
  <c r="BE573" i="6" l="1"/>
  <c r="BG572" i="6"/>
  <c r="BF572" i="6" s="1"/>
  <c r="BE574" i="6" l="1"/>
  <c r="BG573" i="6"/>
  <c r="BF573" i="6" s="1"/>
  <c r="BE575" i="6" l="1"/>
  <c r="BG574" i="6"/>
  <c r="BF574" i="6" s="1"/>
  <c r="BD1483" i="6" s="1"/>
  <c r="BE1483" i="6" s="1"/>
  <c r="BE576" i="6" l="1"/>
  <c r="BG575" i="6"/>
  <c r="BF575" i="6" s="1"/>
  <c r="BE577" i="6" l="1"/>
  <c r="BG576" i="6"/>
  <c r="BF576" i="6" s="1"/>
  <c r="BE578" i="6" l="1"/>
  <c r="BG577" i="6"/>
  <c r="BF577" i="6" s="1"/>
  <c r="BE579" i="6" l="1"/>
  <c r="BG578" i="6"/>
  <c r="BF578" i="6" s="1"/>
  <c r="BE580" i="6" l="1"/>
  <c r="BG579" i="6"/>
  <c r="BF579" i="6" s="1"/>
  <c r="BE581" i="6" l="1"/>
  <c r="BG580" i="6"/>
  <c r="BF580" i="6" s="1"/>
  <c r="BE582" i="6" l="1"/>
  <c r="BG581" i="6"/>
  <c r="BF581" i="6" s="1"/>
  <c r="BE583" i="6" l="1"/>
  <c r="BG582" i="6"/>
  <c r="BF582" i="6" s="1"/>
  <c r="BE584" i="6" l="1"/>
  <c r="BG583" i="6"/>
  <c r="BF583" i="6" s="1"/>
  <c r="BE585" i="6" l="1"/>
  <c r="BG584" i="6"/>
  <c r="BF584" i="6" s="1"/>
  <c r="BE586" i="6" l="1"/>
  <c r="BG585" i="6"/>
  <c r="BF585" i="6" s="1"/>
  <c r="BE587" i="6" l="1"/>
  <c r="BG586" i="6"/>
  <c r="BF586" i="6" s="1"/>
  <c r="BE588" i="6" l="1"/>
  <c r="BG587" i="6"/>
  <c r="BF587" i="6" s="1"/>
  <c r="BE589" i="6" l="1"/>
  <c r="BG588" i="6"/>
  <c r="BF588" i="6" s="1"/>
  <c r="BE590" i="6" l="1"/>
  <c r="BG589" i="6"/>
  <c r="BF589" i="6" s="1"/>
  <c r="BD1484" i="6" s="1"/>
  <c r="BE1484" i="6" s="1"/>
  <c r="BE591" i="6" l="1"/>
  <c r="BG590" i="6"/>
  <c r="BF590" i="6" s="1"/>
  <c r="BE592" i="6" l="1"/>
  <c r="BG591" i="6"/>
  <c r="BF591" i="6" s="1"/>
  <c r="BE593" i="6" l="1"/>
  <c r="BG592" i="6"/>
  <c r="BF592" i="6" s="1"/>
  <c r="BE594" i="6" l="1"/>
  <c r="BG593" i="6"/>
  <c r="BF593" i="6" s="1"/>
  <c r="BE595" i="6" l="1"/>
  <c r="BG594" i="6"/>
  <c r="BF594" i="6" s="1"/>
  <c r="BE596" i="6" l="1"/>
  <c r="BG595" i="6"/>
  <c r="BF595" i="6" s="1"/>
  <c r="BE597" i="6" l="1"/>
  <c r="BG596" i="6"/>
  <c r="BF596" i="6" s="1"/>
  <c r="BE598" i="6" l="1"/>
  <c r="BG597" i="6"/>
  <c r="BF597" i="6" s="1"/>
  <c r="BE599" i="6" l="1"/>
  <c r="BG598" i="6"/>
  <c r="BF598" i="6" s="1"/>
  <c r="BE600" i="6" l="1"/>
  <c r="BG599" i="6"/>
  <c r="BF599" i="6" s="1"/>
  <c r="BE601" i="6" l="1"/>
  <c r="BG600" i="6"/>
  <c r="BF600" i="6" s="1"/>
  <c r="BE602" i="6" l="1"/>
  <c r="BG601" i="6"/>
  <c r="BF601" i="6" s="1"/>
  <c r="BE603" i="6" l="1"/>
  <c r="BG602" i="6"/>
  <c r="BF602" i="6" s="1"/>
  <c r="BE604" i="6" l="1"/>
  <c r="BG603" i="6"/>
  <c r="BF603" i="6" s="1"/>
  <c r="BE605" i="6" l="1"/>
  <c r="BG604" i="6"/>
  <c r="BF604" i="6" s="1"/>
  <c r="BD1485" i="6" s="1"/>
  <c r="BE1485" i="6" s="1"/>
  <c r="BE606" i="6" l="1"/>
  <c r="BG605" i="6"/>
  <c r="BF605" i="6" s="1"/>
  <c r="BE607" i="6" l="1"/>
  <c r="BG606" i="6"/>
  <c r="BF606" i="6" s="1"/>
  <c r="BE608" i="6" l="1"/>
  <c r="BG607" i="6"/>
  <c r="BF607" i="6" s="1"/>
  <c r="BE609" i="6" l="1"/>
  <c r="BG608" i="6"/>
  <c r="BF608" i="6" s="1"/>
  <c r="BE610" i="6" l="1"/>
  <c r="BG609" i="6"/>
  <c r="BF609" i="6" s="1"/>
  <c r="BE611" i="6" l="1"/>
  <c r="BG610" i="6"/>
  <c r="BF610" i="6" s="1"/>
  <c r="BE612" i="6" l="1"/>
  <c r="BG611" i="6"/>
  <c r="BF611" i="6" s="1"/>
  <c r="BE613" i="6" l="1"/>
  <c r="BG612" i="6"/>
  <c r="BF612" i="6" s="1"/>
  <c r="BE614" i="6" l="1"/>
  <c r="BG613" i="6"/>
  <c r="BF613" i="6" s="1"/>
  <c r="BE615" i="6" l="1"/>
  <c r="BG614" i="6"/>
  <c r="BF614" i="6" s="1"/>
  <c r="BE616" i="6" l="1"/>
  <c r="BG615" i="6"/>
  <c r="BF615" i="6" s="1"/>
  <c r="BE617" i="6" l="1"/>
  <c r="BG616" i="6"/>
  <c r="BF616" i="6" s="1"/>
  <c r="BE618" i="6" l="1"/>
  <c r="BG617" i="6"/>
  <c r="BF617" i="6" s="1"/>
  <c r="BE619" i="6" l="1"/>
  <c r="BG618" i="6"/>
  <c r="BF618" i="6" s="1"/>
  <c r="BE620" i="6" l="1"/>
  <c r="BG619" i="6"/>
  <c r="BF619" i="6" s="1"/>
  <c r="BD1486" i="6" s="1"/>
  <c r="BE1486" i="6" s="1"/>
  <c r="BE621" i="6" l="1"/>
  <c r="BG620" i="6"/>
  <c r="BF620" i="6" s="1"/>
  <c r="BE622" i="6" l="1"/>
  <c r="BG621" i="6"/>
  <c r="BF621" i="6" s="1"/>
  <c r="BE623" i="6" l="1"/>
  <c r="BG622" i="6"/>
  <c r="BF622" i="6" s="1"/>
  <c r="BE624" i="6" l="1"/>
  <c r="BG623" i="6"/>
  <c r="BF623" i="6" s="1"/>
  <c r="BE625" i="6" l="1"/>
  <c r="BG624" i="6"/>
  <c r="BF624" i="6" s="1"/>
  <c r="BE626" i="6" l="1"/>
  <c r="BG625" i="6"/>
  <c r="BF625" i="6" s="1"/>
  <c r="BE627" i="6" l="1"/>
  <c r="BG626" i="6"/>
  <c r="BF626" i="6" s="1"/>
  <c r="BE628" i="6" l="1"/>
  <c r="BG627" i="6"/>
  <c r="BF627" i="6" s="1"/>
  <c r="BE629" i="6" l="1"/>
  <c r="BG628" i="6"/>
  <c r="BF628" i="6" s="1"/>
  <c r="BE630" i="6" l="1"/>
  <c r="BG629" i="6"/>
  <c r="BF629" i="6" s="1"/>
  <c r="BE631" i="6" l="1"/>
  <c r="BG630" i="6"/>
  <c r="BF630" i="6" s="1"/>
  <c r="BE632" i="6" l="1"/>
  <c r="BG631" i="6"/>
  <c r="BF631" i="6" s="1"/>
  <c r="BE633" i="6" l="1"/>
  <c r="BG632" i="6"/>
  <c r="BF632" i="6" s="1"/>
  <c r="BE634" i="6" l="1"/>
  <c r="BG633" i="6"/>
  <c r="BF633" i="6" s="1"/>
  <c r="BE635" i="6" l="1"/>
  <c r="BG634" i="6"/>
  <c r="BF634" i="6" s="1"/>
  <c r="BD1487" i="6" s="1"/>
  <c r="BE1487" i="6" s="1"/>
  <c r="BE636" i="6" l="1"/>
  <c r="BG635" i="6"/>
  <c r="BF635" i="6" s="1"/>
  <c r="BE637" i="6" l="1"/>
  <c r="BG636" i="6"/>
  <c r="BF636" i="6" s="1"/>
  <c r="BE638" i="6" l="1"/>
  <c r="BG637" i="6"/>
  <c r="BF637" i="6" s="1"/>
  <c r="BE639" i="6" l="1"/>
  <c r="BG638" i="6"/>
  <c r="BF638" i="6" s="1"/>
  <c r="BE640" i="6" l="1"/>
  <c r="BG639" i="6"/>
  <c r="BF639" i="6" s="1"/>
  <c r="BE641" i="6" l="1"/>
  <c r="BG640" i="6"/>
  <c r="BF640" i="6" s="1"/>
  <c r="BE642" i="6" l="1"/>
  <c r="BG641" i="6"/>
  <c r="BF641" i="6" s="1"/>
  <c r="BE643" i="6" l="1"/>
  <c r="BG642" i="6"/>
  <c r="BF642" i="6" s="1"/>
  <c r="BE644" i="6" l="1"/>
  <c r="BG643" i="6"/>
  <c r="BF643" i="6" s="1"/>
  <c r="BE645" i="6" l="1"/>
  <c r="BG644" i="6"/>
  <c r="BF644" i="6" s="1"/>
  <c r="BE646" i="6" l="1"/>
  <c r="BG645" i="6"/>
  <c r="BF645" i="6" s="1"/>
  <c r="BE647" i="6" l="1"/>
  <c r="BG646" i="6"/>
  <c r="BF646" i="6" s="1"/>
  <c r="BE648" i="6" l="1"/>
  <c r="BG647" i="6"/>
  <c r="BF647" i="6" s="1"/>
  <c r="BE649" i="6" l="1"/>
  <c r="BG648" i="6"/>
  <c r="BF648" i="6" s="1"/>
  <c r="BE650" i="6" l="1"/>
  <c r="BG649" i="6"/>
  <c r="BF649" i="6" s="1"/>
  <c r="BD1488" i="6" s="1"/>
  <c r="BE1488" i="6" s="1"/>
  <c r="BE651" i="6" l="1"/>
  <c r="BG650" i="6"/>
  <c r="BF650" i="6" s="1"/>
  <c r="BE652" i="6" l="1"/>
  <c r="BG651" i="6"/>
  <c r="BF651" i="6" s="1"/>
  <c r="BE653" i="6" l="1"/>
  <c r="BG652" i="6"/>
  <c r="BF652" i="6" s="1"/>
  <c r="BE654" i="6" l="1"/>
  <c r="BG653" i="6"/>
  <c r="BF653" i="6" s="1"/>
  <c r="BE655" i="6" l="1"/>
  <c r="BG654" i="6"/>
  <c r="BF654" i="6" s="1"/>
  <c r="BE656" i="6" l="1"/>
  <c r="BG655" i="6"/>
  <c r="BF655" i="6" s="1"/>
  <c r="BE657" i="6" l="1"/>
  <c r="BG656" i="6"/>
  <c r="BF656" i="6" s="1"/>
  <c r="BE658" i="6" l="1"/>
  <c r="BG657" i="6"/>
  <c r="BF657" i="6" s="1"/>
  <c r="BE659" i="6" l="1"/>
  <c r="BG658" i="6"/>
  <c r="BF658" i="6" s="1"/>
  <c r="BE660" i="6" l="1"/>
  <c r="BG659" i="6"/>
  <c r="BF659" i="6" s="1"/>
  <c r="BE661" i="6" l="1"/>
  <c r="BG660" i="6"/>
  <c r="BF660" i="6" s="1"/>
  <c r="BE662" i="6" l="1"/>
  <c r="BG661" i="6"/>
  <c r="BF661" i="6" s="1"/>
  <c r="BE663" i="6" l="1"/>
  <c r="BG662" i="6"/>
  <c r="BF662" i="6" s="1"/>
  <c r="BE664" i="6" l="1"/>
  <c r="BG663" i="6"/>
  <c r="BF663" i="6" s="1"/>
  <c r="BE665" i="6" l="1"/>
  <c r="BG664" i="6"/>
  <c r="BF664" i="6" s="1"/>
  <c r="BD1489" i="6" s="1"/>
  <c r="BE1489" i="6" s="1"/>
  <c r="BE666" i="6" l="1"/>
  <c r="BG665" i="6"/>
  <c r="BF665" i="6" s="1"/>
  <c r="BE667" i="6" l="1"/>
  <c r="BG666" i="6"/>
  <c r="BF666" i="6" s="1"/>
  <c r="BE668" i="6" l="1"/>
  <c r="BG667" i="6"/>
  <c r="BF667" i="6" s="1"/>
  <c r="BE669" i="6" l="1"/>
  <c r="BG668" i="6"/>
  <c r="BF668" i="6" s="1"/>
  <c r="BE670" i="6" l="1"/>
  <c r="BG669" i="6"/>
  <c r="BF669" i="6" s="1"/>
  <c r="BE671" i="6" l="1"/>
  <c r="BG670" i="6"/>
  <c r="BF670" i="6" s="1"/>
  <c r="BE672" i="6" l="1"/>
  <c r="BG671" i="6"/>
  <c r="BF671" i="6" s="1"/>
  <c r="BE673" i="6" l="1"/>
  <c r="BG672" i="6"/>
  <c r="BF672" i="6" s="1"/>
  <c r="BE674" i="6" l="1"/>
  <c r="BG673" i="6"/>
  <c r="BF673" i="6" s="1"/>
  <c r="BE675" i="6" l="1"/>
  <c r="BG674" i="6"/>
  <c r="BF674" i="6" s="1"/>
  <c r="BE676" i="6" l="1"/>
  <c r="BG675" i="6"/>
  <c r="BF675" i="6" s="1"/>
  <c r="BE677" i="6" l="1"/>
  <c r="BG676" i="6"/>
  <c r="BF676" i="6" s="1"/>
  <c r="BE678" i="6" l="1"/>
  <c r="BG677" i="6"/>
  <c r="BF677" i="6" s="1"/>
  <c r="BE679" i="6" l="1"/>
  <c r="BG678" i="6"/>
  <c r="BF678" i="6" s="1"/>
  <c r="BE680" i="6" l="1"/>
  <c r="BG679" i="6"/>
  <c r="BF679" i="6" s="1"/>
  <c r="BD1490" i="6" s="1"/>
  <c r="BE1490" i="6" s="1"/>
  <c r="BE681" i="6" l="1"/>
  <c r="BG680" i="6"/>
  <c r="BF680" i="6" s="1"/>
  <c r="BE682" i="6" l="1"/>
  <c r="BG681" i="6"/>
  <c r="BF681" i="6" s="1"/>
  <c r="BE683" i="6" l="1"/>
  <c r="BG682" i="6"/>
  <c r="BF682" i="6" s="1"/>
  <c r="BE684" i="6" l="1"/>
  <c r="BG683" i="6"/>
  <c r="BF683" i="6" s="1"/>
  <c r="BE685" i="6" l="1"/>
  <c r="BG684" i="6"/>
  <c r="BF684" i="6" s="1"/>
  <c r="BE686" i="6" l="1"/>
  <c r="BG685" i="6"/>
  <c r="BF685" i="6" s="1"/>
  <c r="BE687" i="6" l="1"/>
  <c r="BG686" i="6"/>
  <c r="BF686" i="6" s="1"/>
  <c r="BE688" i="6" l="1"/>
  <c r="BG687" i="6"/>
  <c r="BF687" i="6" s="1"/>
  <c r="BE689" i="6" l="1"/>
  <c r="BG688" i="6"/>
  <c r="BF688" i="6" s="1"/>
  <c r="BE690" i="6" l="1"/>
  <c r="BG689" i="6"/>
  <c r="BF689" i="6" s="1"/>
  <c r="BE691" i="6" l="1"/>
  <c r="BG690" i="6"/>
  <c r="BF690" i="6" s="1"/>
  <c r="BE692" i="6" l="1"/>
  <c r="BG691" i="6"/>
  <c r="BF691" i="6" s="1"/>
  <c r="BE693" i="6" l="1"/>
  <c r="BG692" i="6"/>
  <c r="BF692" i="6" s="1"/>
  <c r="BE694" i="6" l="1"/>
  <c r="BG693" i="6"/>
  <c r="BF693" i="6" s="1"/>
  <c r="BE695" i="6" l="1"/>
  <c r="BG694" i="6"/>
  <c r="BF694" i="6" s="1"/>
  <c r="BD1491" i="6" s="1"/>
  <c r="BE1491" i="6" s="1"/>
  <c r="BE696" i="6" l="1"/>
  <c r="BG695" i="6"/>
  <c r="BF695" i="6" s="1"/>
  <c r="BE697" i="6" l="1"/>
  <c r="BG696" i="6"/>
  <c r="BF696" i="6" s="1"/>
  <c r="BE698" i="6" l="1"/>
  <c r="BG697" i="6"/>
  <c r="BF697" i="6" s="1"/>
  <c r="BE699" i="6" l="1"/>
  <c r="BG698" i="6"/>
  <c r="BF698" i="6" s="1"/>
  <c r="BE700" i="6" l="1"/>
  <c r="BG699" i="6"/>
  <c r="BF699" i="6" s="1"/>
  <c r="BE701" i="6" l="1"/>
  <c r="BG700" i="6"/>
  <c r="BF700" i="6" s="1"/>
  <c r="BE702" i="6" l="1"/>
  <c r="BG701" i="6"/>
  <c r="BF701" i="6" s="1"/>
  <c r="BE703" i="6" l="1"/>
  <c r="BG702" i="6"/>
  <c r="BF702" i="6" s="1"/>
  <c r="BE704" i="6" l="1"/>
  <c r="BG703" i="6"/>
  <c r="BF703" i="6" s="1"/>
  <c r="BE705" i="6" l="1"/>
  <c r="BG704" i="6"/>
  <c r="BF704" i="6" s="1"/>
  <c r="BE706" i="6" l="1"/>
  <c r="BG705" i="6"/>
  <c r="BF705" i="6" s="1"/>
  <c r="BE707" i="6" l="1"/>
  <c r="BG706" i="6"/>
  <c r="BF706" i="6" s="1"/>
  <c r="BE708" i="6" l="1"/>
  <c r="BG707" i="6"/>
  <c r="BF707" i="6" s="1"/>
  <c r="BE709" i="6" l="1"/>
  <c r="BG708" i="6"/>
  <c r="BF708" i="6" s="1"/>
  <c r="BE710" i="6" l="1"/>
  <c r="BG709" i="6"/>
  <c r="BF709" i="6" s="1"/>
  <c r="BD1492" i="6" s="1"/>
  <c r="BE1492" i="6" s="1"/>
  <c r="BE711" i="6" l="1"/>
  <c r="BG710" i="6"/>
  <c r="BF710" i="6" s="1"/>
  <c r="BE712" i="6" l="1"/>
  <c r="BG711" i="6"/>
  <c r="BF711" i="6" s="1"/>
  <c r="BE713" i="6" l="1"/>
  <c r="BG712" i="6"/>
  <c r="BF712" i="6" s="1"/>
  <c r="BE714" i="6" l="1"/>
  <c r="BG713" i="6"/>
  <c r="BF713" i="6" s="1"/>
  <c r="BE715" i="6" l="1"/>
  <c r="BG714" i="6"/>
  <c r="BF714" i="6" s="1"/>
  <c r="BE716" i="6" l="1"/>
  <c r="BG715" i="6"/>
  <c r="BF715" i="6" s="1"/>
  <c r="BE717" i="6" l="1"/>
  <c r="BG716" i="6"/>
  <c r="BF716" i="6" s="1"/>
  <c r="BE718" i="6" l="1"/>
  <c r="BG717" i="6"/>
  <c r="BF717" i="6" s="1"/>
  <c r="BE719" i="6" l="1"/>
  <c r="BG718" i="6"/>
  <c r="BF718" i="6" s="1"/>
  <c r="BE720" i="6" l="1"/>
  <c r="BG719" i="6"/>
  <c r="BF719" i="6" s="1"/>
  <c r="BE721" i="6" l="1"/>
  <c r="BG720" i="6"/>
  <c r="BF720" i="6" s="1"/>
  <c r="BE722" i="6" l="1"/>
  <c r="BG721" i="6"/>
  <c r="BF721" i="6" s="1"/>
  <c r="BE723" i="6" l="1"/>
  <c r="BG722" i="6"/>
  <c r="BF722" i="6" s="1"/>
  <c r="BE724" i="6" l="1"/>
  <c r="BG723" i="6"/>
  <c r="BF723" i="6" s="1"/>
  <c r="BE725" i="6" l="1"/>
  <c r="BG724" i="6"/>
  <c r="BF724" i="6" s="1"/>
  <c r="BD1493" i="6" s="1"/>
  <c r="BE1493" i="6" s="1"/>
  <c r="BE726" i="6" l="1"/>
  <c r="BG725" i="6"/>
  <c r="BF725" i="6" s="1"/>
  <c r="BE727" i="6" l="1"/>
  <c r="BG726" i="6"/>
  <c r="BF726" i="6" s="1"/>
  <c r="BE728" i="6" l="1"/>
  <c r="BG727" i="6"/>
  <c r="BF727" i="6" s="1"/>
  <c r="BE729" i="6" l="1"/>
  <c r="BG728" i="6"/>
  <c r="BF728" i="6" s="1"/>
  <c r="BE730" i="6" l="1"/>
  <c r="BG729" i="6"/>
  <c r="BF729" i="6" s="1"/>
  <c r="BE731" i="6" l="1"/>
  <c r="BG730" i="6"/>
  <c r="BF730" i="6" s="1"/>
  <c r="BE732" i="6" l="1"/>
  <c r="BG731" i="6"/>
  <c r="BF731" i="6" s="1"/>
  <c r="BE733" i="6" l="1"/>
  <c r="BG732" i="6"/>
  <c r="BF732" i="6" s="1"/>
  <c r="BE734" i="6" l="1"/>
  <c r="BG733" i="6"/>
  <c r="BF733" i="6" s="1"/>
  <c r="BE735" i="6" l="1"/>
  <c r="BG734" i="6"/>
  <c r="BF734" i="6" s="1"/>
  <c r="BE736" i="6" l="1"/>
  <c r="BG735" i="6"/>
  <c r="BF735" i="6" s="1"/>
  <c r="BE737" i="6" l="1"/>
  <c r="BG736" i="6"/>
  <c r="BF736" i="6" s="1"/>
  <c r="BE738" i="6" l="1"/>
  <c r="BG737" i="6"/>
  <c r="BF737" i="6" s="1"/>
  <c r="BE739" i="6" l="1"/>
  <c r="BG738" i="6"/>
  <c r="BF738" i="6" s="1"/>
  <c r="BE740" i="6" l="1"/>
  <c r="BG739" i="6"/>
  <c r="BF739" i="6" s="1"/>
  <c r="BD1494" i="6" s="1"/>
  <c r="BE1494" i="6" s="1"/>
  <c r="BE741" i="6" l="1"/>
  <c r="BG740" i="6"/>
  <c r="BF740" i="6" s="1"/>
  <c r="BE742" i="6" l="1"/>
  <c r="BG741" i="6"/>
  <c r="BF741" i="6" s="1"/>
  <c r="BE743" i="6" l="1"/>
  <c r="BG742" i="6"/>
  <c r="BF742" i="6" s="1"/>
  <c r="BE744" i="6" l="1"/>
  <c r="BG743" i="6"/>
  <c r="BF743" i="6" s="1"/>
  <c r="BE745" i="6" l="1"/>
  <c r="BG744" i="6"/>
  <c r="BF744" i="6" s="1"/>
  <c r="BE746" i="6" l="1"/>
  <c r="BG745" i="6"/>
  <c r="BF745" i="6" s="1"/>
  <c r="BE747" i="6" l="1"/>
  <c r="BG746" i="6"/>
  <c r="BF746" i="6" s="1"/>
  <c r="BE748" i="6" l="1"/>
  <c r="BG747" i="6"/>
  <c r="BF747" i="6" s="1"/>
  <c r="BE749" i="6" l="1"/>
  <c r="BG748" i="6"/>
  <c r="BF748" i="6" s="1"/>
  <c r="BE750" i="6" l="1"/>
  <c r="BG749" i="6"/>
  <c r="BF749" i="6" s="1"/>
  <c r="BE751" i="6" l="1"/>
  <c r="BG750" i="6"/>
  <c r="BF750" i="6" s="1"/>
  <c r="BE752" i="6" l="1"/>
  <c r="BG751" i="6"/>
  <c r="BF751" i="6" s="1"/>
  <c r="BE753" i="6" l="1"/>
  <c r="BG752" i="6"/>
  <c r="BF752" i="6" s="1"/>
  <c r="BE754" i="6" l="1"/>
  <c r="BG753" i="6"/>
  <c r="BF753" i="6" s="1"/>
  <c r="BE755" i="6" l="1"/>
  <c r="BG754" i="6"/>
  <c r="BF754" i="6" s="1"/>
  <c r="BD1495" i="6" s="1"/>
  <c r="BE1495" i="6" s="1"/>
  <c r="BE756" i="6" l="1"/>
  <c r="BG755" i="6"/>
  <c r="BF755" i="6" s="1"/>
  <c r="BE757" i="6" l="1"/>
  <c r="BG756" i="6"/>
  <c r="BF756" i="6" s="1"/>
  <c r="BE758" i="6" l="1"/>
  <c r="BG757" i="6"/>
  <c r="BF757" i="6" s="1"/>
  <c r="BE759" i="6" l="1"/>
  <c r="BG758" i="6"/>
  <c r="BF758" i="6" s="1"/>
  <c r="BE760" i="6" l="1"/>
  <c r="BG759" i="6"/>
  <c r="BF759" i="6" s="1"/>
  <c r="BE761" i="6" l="1"/>
  <c r="BG760" i="6"/>
  <c r="BF760" i="6" s="1"/>
  <c r="BE762" i="6" l="1"/>
  <c r="BG761" i="6"/>
  <c r="BF761" i="6" s="1"/>
  <c r="BE763" i="6" l="1"/>
  <c r="BG762" i="6"/>
  <c r="BF762" i="6" s="1"/>
  <c r="BE764" i="6" l="1"/>
  <c r="BG763" i="6"/>
  <c r="BF763" i="6" s="1"/>
  <c r="BE765" i="6" l="1"/>
  <c r="BG764" i="6"/>
  <c r="BF764" i="6" s="1"/>
  <c r="BE766" i="6" l="1"/>
  <c r="BG765" i="6"/>
  <c r="BF765" i="6" s="1"/>
  <c r="BE767" i="6" l="1"/>
  <c r="BG766" i="6"/>
  <c r="BF766" i="6" s="1"/>
  <c r="BE768" i="6" l="1"/>
  <c r="BG767" i="6"/>
  <c r="BF767" i="6" s="1"/>
  <c r="BE769" i="6" l="1"/>
  <c r="BG768" i="6"/>
  <c r="BF768" i="6" s="1"/>
  <c r="BE770" i="6" l="1"/>
  <c r="BG769" i="6"/>
  <c r="BF769" i="6" s="1"/>
  <c r="BD1496" i="6" s="1"/>
  <c r="BE1496" i="6" s="1"/>
  <c r="BE771" i="6" l="1"/>
  <c r="BG770" i="6"/>
  <c r="BF770" i="6" s="1"/>
  <c r="BE772" i="6" l="1"/>
  <c r="BG771" i="6"/>
  <c r="BF771" i="6" s="1"/>
  <c r="BE773" i="6" l="1"/>
  <c r="BG772" i="6"/>
  <c r="BF772" i="6" s="1"/>
  <c r="BE774" i="6" l="1"/>
  <c r="BG773" i="6"/>
  <c r="BF773" i="6" s="1"/>
  <c r="BE775" i="6" l="1"/>
  <c r="BG774" i="6"/>
  <c r="BF774" i="6" s="1"/>
  <c r="BE776" i="6" l="1"/>
  <c r="BG775" i="6"/>
  <c r="BF775" i="6" s="1"/>
  <c r="BE777" i="6" l="1"/>
  <c r="BG776" i="6"/>
  <c r="BF776" i="6" s="1"/>
  <c r="BE778" i="6" l="1"/>
  <c r="BG777" i="6"/>
  <c r="BF777" i="6" s="1"/>
  <c r="BE779" i="6" l="1"/>
  <c r="BG778" i="6"/>
  <c r="BF778" i="6" s="1"/>
  <c r="BE780" i="6" l="1"/>
  <c r="BG779" i="6"/>
  <c r="BF779" i="6" s="1"/>
  <c r="BE781" i="6" l="1"/>
  <c r="BG780" i="6"/>
  <c r="BF780" i="6" s="1"/>
  <c r="BE782" i="6" l="1"/>
  <c r="BG781" i="6"/>
  <c r="BF781" i="6" s="1"/>
  <c r="BE783" i="6" l="1"/>
  <c r="BG782" i="6"/>
  <c r="BF782" i="6" s="1"/>
  <c r="BE784" i="6" l="1"/>
  <c r="BG783" i="6"/>
  <c r="BF783" i="6" s="1"/>
  <c r="BE785" i="6" l="1"/>
  <c r="BG784" i="6"/>
  <c r="BF784" i="6" s="1"/>
  <c r="BD1497" i="6" s="1"/>
  <c r="BE1497" i="6" s="1"/>
  <c r="BE786" i="6" l="1"/>
  <c r="BG785" i="6"/>
  <c r="BF785" i="6" s="1"/>
  <c r="BE787" i="6" l="1"/>
  <c r="BG786" i="6"/>
  <c r="BF786" i="6" s="1"/>
  <c r="BE788" i="6" l="1"/>
  <c r="BG787" i="6"/>
  <c r="BF787" i="6" s="1"/>
  <c r="BE789" i="6" l="1"/>
  <c r="BG788" i="6"/>
  <c r="BF788" i="6" s="1"/>
  <c r="BE790" i="6" l="1"/>
  <c r="BG789" i="6"/>
  <c r="BF789" i="6" s="1"/>
  <c r="BE791" i="6" l="1"/>
  <c r="BG790" i="6"/>
  <c r="BF790" i="6" s="1"/>
  <c r="BE792" i="6" l="1"/>
  <c r="BG791" i="6"/>
  <c r="BF791" i="6" s="1"/>
  <c r="BE793" i="6" l="1"/>
  <c r="BG792" i="6"/>
  <c r="BF792" i="6" s="1"/>
  <c r="BE794" i="6" l="1"/>
  <c r="BG793" i="6"/>
  <c r="BF793" i="6" s="1"/>
  <c r="BE795" i="6" l="1"/>
  <c r="BG794" i="6"/>
  <c r="BF794" i="6" s="1"/>
  <c r="BE796" i="6" l="1"/>
  <c r="BG795" i="6"/>
  <c r="BF795" i="6" s="1"/>
  <c r="BE797" i="6" l="1"/>
  <c r="BG796" i="6"/>
  <c r="BF796" i="6" s="1"/>
  <c r="BE798" i="6" l="1"/>
  <c r="BG797" i="6"/>
  <c r="BF797" i="6" s="1"/>
  <c r="BE799" i="6" l="1"/>
  <c r="BG798" i="6"/>
  <c r="BF798" i="6" s="1"/>
  <c r="BE800" i="6" l="1"/>
  <c r="BG799" i="6"/>
  <c r="BF799" i="6" s="1"/>
  <c r="BD1498" i="6" s="1"/>
  <c r="BE1498" i="6" s="1"/>
  <c r="BE801" i="6" l="1"/>
  <c r="BG800" i="6"/>
  <c r="BF800" i="6" s="1"/>
  <c r="BE802" i="6" l="1"/>
  <c r="BG801" i="6"/>
  <c r="BF801" i="6" s="1"/>
  <c r="BE803" i="6" l="1"/>
  <c r="BG802" i="6"/>
  <c r="BF802" i="6" s="1"/>
  <c r="BE804" i="6" l="1"/>
  <c r="BG803" i="6"/>
  <c r="BF803" i="6" s="1"/>
  <c r="BE805" i="6" l="1"/>
  <c r="BG804" i="6"/>
  <c r="BF804" i="6" s="1"/>
  <c r="BE806" i="6" l="1"/>
  <c r="BG805" i="6"/>
  <c r="BF805" i="6" s="1"/>
  <c r="BE807" i="6" l="1"/>
  <c r="BG806" i="6"/>
  <c r="BF806" i="6" s="1"/>
  <c r="BE808" i="6" l="1"/>
  <c r="BG807" i="6"/>
  <c r="BF807" i="6" s="1"/>
  <c r="BE809" i="6" l="1"/>
  <c r="BG808" i="6"/>
  <c r="BF808" i="6" s="1"/>
  <c r="BE810" i="6" l="1"/>
  <c r="BG809" i="6"/>
  <c r="BF809" i="6" s="1"/>
  <c r="BE811" i="6" l="1"/>
  <c r="BG810" i="6"/>
  <c r="BF810" i="6" s="1"/>
  <c r="BE812" i="6" l="1"/>
  <c r="BG811" i="6"/>
  <c r="BF811" i="6" s="1"/>
  <c r="BE813" i="6" l="1"/>
  <c r="BG812" i="6"/>
  <c r="BF812" i="6" s="1"/>
  <c r="BE814" i="6" l="1"/>
  <c r="BG813" i="6"/>
  <c r="BF813" i="6" s="1"/>
  <c r="BE815" i="6" l="1"/>
  <c r="BG814" i="6"/>
  <c r="BF814" i="6" s="1"/>
  <c r="BD1499" i="6" s="1"/>
  <c r="BE1499" i="6" s="1"/>
  <c r="BE816" i="6" l="1"/>
  <c r="BG815" i="6"/>
  <c r="BF815" i="6" s="1"/>
  <c r="BE817" i="6" l="1"/>
  <c r="BG816" i="6"/>
  <c r="BF816" i="6" s="1"/>
  <c r="BE818" i="6" l="1"/>
  <c r="BG817" i="6"/>
  <c r="BF817" i="6" s="1"/>
  <c r="BE819" i="6" l="1"/>
  <c r="BG818" i="6"/>
  <c r="BF818" i="6" s="1"/>
  <c r="BE820" i="6" l="1"/>
  <c r="BG819" i="6"/>
  <c r="BF819" i="6" s="1"/>
  <c r="BE821" i="6" l="1"/>
  <c r="BG820" i="6"/>
  <c r="BF820" i="6" s="1"/>
  <c r="BE822" i="6" l="1"/>
  <c r="BG821" i="6"/>
  <c r="BF821" i="6" s="1"/>
  <c r="BE823" i="6" l="1"/>
  <c r="BG822" i="6"/>
  <c r="BF822" i="6" s="1"/>
  <c r="BE824" i="6" l="1"/>
  <c r="BG823" i="6"/>
  <c r="BF823" i="6" s="1"/>
  <c r="BE825" i="6" l="1"/>
  <c r="BG824" i="6"/>
  <c r="BF824" i="6" s="1"/>
  <c r="BE826" i="6" l="1"/>
  <c r="BG825" i="6"/>
  <c r="BF825" i="6" s="1"/>
  <c r="BE827" i="6" l="1"/>
  <c r="BG826" i="6"/>
  <c r="BF826" i="6" s="1"/>
  <c r="BE828" i="6" l="1"/>
  <c r="BG827" i="6"/>
  <c r="BF827" i="6" s="1"/>
  <c r="BE829" i="6" l="1"/>
  <c r="BG828" i="6"/>
  <c r="BF828" i="6" s="1"/>
  <c r="BE830" i="6" l="1"/>
  <c r="BG829" i="6"/>
  <c r="BF829" i="6" s="1"/>
  <c r="BD1500" i="6" s="1"/>
  <c r="BE1500" i="6" s="1"/>
  <c r="BE831" i="6" l="1"/>
  <c r="BG830" i="6"/>
  <c r="BF830" i="6" s="1"/>
  <c r="BE832" i="6" l="1"/>
  <c r="BG831" i="6"/>
  <c r="BF831" i="6" s="1"/>
  <c r="BE833" i="6" l="1"/>
  <c r="BG832" i="6"/>
  <c r="BF832" i="6" s="1"/>
  <c r="BE834" i="6" l="1"/>
  <c r="BG833" i="6"/>
  <c r="BF833" i="6" s="1"/>
  <c r="BE835" i="6" l="1"/>
  <c r="BG834" i="6"/>
  <c r="BF834" i="6" s="1"/>
  <c r="BE836" i="6" l="1"/>
  <c r="BG835" i="6"/>
  <c r="BF835" i="6" s="1"/>
  <c r="BE837" i="6" l="1"/>
  <c r="BG836" i="6"/>
  <c r="BF836" i="6" s="1"/>
  <c r="BE838" i="6" l="1"/>
  <c r="BG837" i="6"/>
  <c r="BF837" i="6" s="1"/>
  <c r="BE839" i="6" l="1"/>
  <c r="BG838" i="6"/>
  <c r="BF838" i="6" s="1"/>
  <c r="BE840" i="6" l="1"/>
  <c r="BG839" i="6"/>
  <c r="BF839" i="6" s="1"/>
  <c r="BE841" i="6" l="1"/>
  <c r="BG840" i="6"/>
  <c r="BF840" i="6" s="1"/>
  <c r="BE842" i="6" l="1"/>
  <c r="BG841" i="6"/>
  <c r="BF841" i="6" s="1"/>
  <c r="BE843" i="6" l="1"/>
  <c r="BG842" i="6"/>
  <c r="BF842" i="6" s="1"/>
  <c r="BE844" i="6" l="1"/>
  <c r="BG843" i="6"/>
  <c r="BF843" i="6" s="1"/>
  <c r="BE845" i="6" l="1"/>
  <c r="BG844" i="6"/>
  <c r="BF844" i="6" s="1"/>
  <c r="BD1501" i="6" s="1"/>
  <c r="BE1501" i="6" s="1"/>
  <c r="BE846" i="6" l="1"/>
  <c r="BG845" i="6"/>
  <c r="BF845" i="6" s="1"/>
  <c r="BE847" i="6" l="1"/>
  <c r="BG846" i="6"/>
  <c r="BF846" i="6" s="1"/>
  <c r="BE848" i="6" l="1"/>
  <c r="BG847" i="6"/>
  <c r="BF847" i="6" s="1"/>
  <c r="BE849" i="6" l="1"/>
  <c r="BG848" i="6"/>
  <c r="BF848" i="6" s="1"/>
  <c r="BE850" i="6" l="1"/>
  <c r="BG849" i="6"/>
  <c r="BF849" i="6" s="1"/>
  <c r="BE851" i="6" l="1"/>
  <c r="BG850" i="6"/>
  <c r="BF850" i="6" s="1"/>
  <c r="BE852" i="6" l="1"/>
  <c r="BG851" i="6"/>
  <c r="BF851" i="6" s="1"/>
  <c r="BE853" i="6" l="1"/>
  <c r="BG852" i="6"/>
  <c r="BF852" i="6" s="1"/>
  <c r="BE854" i="6" l="1"/>
  <c r="BG853" i="6"/>
  <c r="BF853" i="6" s="1"/>
  <c r="BE855" i="6" l="1"/>
  <c r="BG854" i="6"/>
  <c r="BF854" i="6" s="1"/>
  <c r="BE856" i="6" l="1"/>
  <c r="BG855" i="6"/>
  <c r="BF855" i="6" s="1"/>
  <c r="BE857" i="6" l="1"/>
  <c r="BG856" i="6"/>
  <c r="BF856" i="6" s="1"/>
  <c r="BE858" i="6" l="1"/>
  <c r="BG857" i="6"/>
  <c r="BF857" i="6" s="1"/>
  <c r="BE859" i="6" l="1"/>
  <c r="BG858" i="6"/>
  <c r="BF858" i="6" s="1"/>
  <c r="BE860" i="6" l="1"/>
  <c r="BG859" i="6"/>
  <c r="BF859" i="6" s="1"/>
  <c r="BD1502" i="6" s="1"/>
  <c r="BE1502" i="6" s="1"/>
  <c r="BE861" i="6" l="1"/>
  <c r="BG860" i="6"/>
  <c r="BF860" i="6" s="1"/>
  <c r="BE862" i="6" l="1"/>
  <c r="BG861" i="6"/>
  <c r="BF861" i="6" s="1"/>
  <c r="BE863" i="6" l="1"/>
  <c r="BG862" i="6"/>
  <c r="BF862" i="6" s="1"/>
  <c r="BE864" i="6" l="1"/>
  <c r="BG863" i="6"/>
  <c r="BF863" i="6" s="1"/>
  <c r="BE865" i="6" l="1"/>
  <c r="BG864" i="6"/>
  <c r="BF864" i="6" s="1"/>
  <c r="BE866" i="6" l="1"/>
  <c r="BG865" i="6"/>
  <c r="BF865" i="6" s="1"/>
  <c r="BE867" i="6" l="1"/>
  <c r="BG866" i="6"/>
  <c r="BF866" i="6" s="1"/>
  <c r="BE868" i="6" l="1"/>
  <c r="BG867" i="6"/>
  <c r="BF867" i="6" s="1"/>
  <c r="BE869" i="6" l="1"/>
  <c r="BG868" i="6"/>
  <c r="BF868" i="6" s="1"/>
  <c r="BE870" i="6" l="1"/>
  <c r="BG869" i="6"/>
  <c r="BF869" i="6" s="1"/>
  <c r="BE871" i="6" l="1"/>
  <c r="BG870" i="6"/>
  <c r="BF870" i="6" s="1"/>
  <c r="BE872" i="6" l="1"/>
  <c r="BG871" i="6"/>
  <c r="BF871" i="6" s="1"/>
  <c r="BE873" i="6" l="1"/>
  <c r="BG872" i="6"/>
  <c r="BF872" i="6" s="1"/>
  <c r="BE874" i="6" l="1"/>
  <c r="BG873" i="6"/>
  <c r="BF873" i="6" s="1"/>
  <c r="BE875" i="6" l="1"/>
  <c r="BG874" i="6"/>
  <c r="BF874" i="6" s="1"/>
  <c r="BD1503" i="6" s="1"/>
  <c r="BE1503" i="6" s="1"/>
  <c r="BE876" i="6" l="1"/>
  <c r="BG875" i="6"/>
  <c r="BF875" i="6" s="1"/>
  <c r="BE877" i="6" l="1"/>
  <c r="BG876" i="6"/>
  <c r="BF876" i="6" s="1"/>
  <c r="BE878" i="6" l="1"/>
  <c r="BG877" i="6"/>
  <c r="BF877" i="6" s="1"/>
  <c r="BE879" i="6" l="1"/>
  <c r="BG878" i="6"/>
  <c r="BF878" i="6" s="1"/>
  <c r="BE880" i="6" l="1"/>
  <c r="BG879" i="6"/>
  <c r="BF879" i="6" s="1"/>
  <c r="BE881" i="6" l="1"/>
  <c r="BG880" i="6"/>
  <c r="BF880" i="6" s="1"/>
  <c r="BE882" i="6" l="1"/>
  <c r="BG881" i="6"/>
  <c r="BF881" i="6" s="1"/>
  <c r="BE883" i="6" l="1"/>
  <c r="BG882" i="6"/>
  <c r="BF882" i="6" s="1"/>
  <c r="BE884" i="6" l="1"/>
  <c r="BG883" i="6"/>
  <c r="BF883" i="6" s="1"/>
  <c r="BE885" i="6" l="1"/>
  <c r="BG884" i="6"/>
  <c r="BF884" i="6" s="1"/>
  <c r="BE886" i="6" l="1"/>
  <c r="BG885" i="6"/>
  <c r="BF885" i="6" s="1"/>
  <c r="BE887" i="6" l="1"/>
  <c r="BG886" i="6"/>
  <c r="BF886" i="6" s="1"/>
  <c r="BE888" i="6" l="1"/>
  <c r="BG887" i="6"/>
  <c r="BF887" i="6" s="1"/>
  <c r="BE889" i="6" l="1"/>
  <c r="BG888" i="6"/>
  <c r="BF888" i="6" s="1"/>
  <c r="BE890" i="6" l="1"/>
  <c r="BG889" i="6"/>
  <c r="BF889" i="6" s="1"/>
  <c r="BD1504" i="6" s="1"/>
  <c r="BE1504" i="6" s="1"/>
  <c r="BE891" i="6" l="1"/>
  <c r="BG890" i="6"/>
  <c r="BF890" i="6" s="1"/>
  <c r="BE892" i="6" l="1"/>
  <c r="BG891" i="6"/>
  <c r="BF891" i="6" s="1"/>
  <c r="BE893" i="6" l="1"/>
  <c r="BG892" i="6"/>
  <c r="BF892" i="6" s="1"/>
  <c r="BE894" i="6" l="1"/>
  <c r="BG893" i="6"/>
  <c r="BF893" i="6" s="1"/>
  <c r="BE895" i="6" l="1"/>
  <c r="BG894" i="6"/>
  <c r="BF894" i="6" s="1"/>
  <c r="BE896" i="6" l="1"/>
  <c r="BG895" i="6"/>
  <c r="BF895" i="6" s="1"/>
  <c r="BE897" i="6" l="1"/>
  <c r="BG896" i="6"/>
  <c r="BF896" i="6" s="1"/>
  <c r="BE898" i="6" l="1"/>
  <c r="BG897" i="6"/>
  <c r="BF897" i="6" s="1"/>
  <c r="BE899" i="6" l="1"/>
  <c r="BG898" i="6"/>
  <c r="BF898" i="6" s="1"/>
  <c r="BE900" i="6" l="1"/>
  <c r="BG899" i="6"/>
  <c r="BF899" i="6" s="1"/>
  <c r="BE901" i="6" l="1"/>
  <c r="BG900" i="6"/>
  <c r="BF900" i="6" s="1"/>
  <c r="BE902" i="6" l="1"/>
  <c r="BG901" i="6"/>
  <c r="BF901" i="6" s="1"/>
  <c r="BE903" i="6" l="1"/>
  <c r="BG902" i="6"/>
  <c r="BF902" i="6" s="1"/>
  <c r="BE904" i="6" l="1"/>
  <c r="BG903" i="6"/>
  <c r="BF903" i="6" s="1"/>
  <c r="BE905" i="6" l="1"/>
  <c r="BG904" i="6"/>
  <c r="BF904" i="6" s="1"/>
  <c r="BD1505" i="6" s="1"/>
  <c r="BE1505" i="6" s="1"/>
  <c r="BE906" i="6" l="1"/>
  <c r="BG905" i="6"/>
  <c r="BF905" i="6" s="1"/>
  <c r="BE907" i="6" l="1"/>
  <c r="BG906" i="6"/>
  <c r="BF906" i="6" s="1"/>
  <c r="BE908" i="6" l="1"/>
  <c r="BG907" i="6"/>
  <c r="BF907" i="6" s="1"/>
  <c r="BE909" i="6" l="1"/>
  <c r="BG908" i="6"/>
  <c r="BF908" i="6" s="1"/>
  <c r="BE910" i="6" l="1"/>
  <c r="BG909" i="6"/>
  <c r="BF909" i="6" s="1"/>
  <c r="BE911" i="6" l="1"/>
  <c r="BG910" i="6"/>
  <c r="BF910" i="6" s="1"/>
  <c r="BE912" i="6" l="1"/>
  <c r="BG911" i="6"/>
  <c r="BF911" i="6" s="1"/>
  <c r="BE913" i="6" l="1"/>
  <c r="BG912" i="6"/>
  <c r="BF912" i="6" s="1"/>
  <c r="BE914" i="6" l="1"/>
  <c r="BG913" i="6"/>
  <c r="BF913" i="6" s="1"/>
  <c r="BE915" i="6" l="1"/>
  <c r="BG914" i="6"/>
  <c r="BF914" i="6" s="1"/>
  <c r="BE916" i="6" l="1"/>
  <c r="BG915" i="6"/>
  <c r="BF915" i="6" s="1"/>
  <c r="BE917" i="6" l="1"/>
  <c r="BG916" i="6"/>
  <c r="BF916" i="6" s="1"/>
  <c r="BE918" i="6" l="1"/>
  <c r="BG917" i="6"/>
  <c r="BF917" i="6" s="1"/>
  <c r="BE919" i="6" l="1"/>
  <c r="BG918" i="6"/>
  <c r="BF918" i="6" s="1"/>
  <c r="BE920" i="6" l="1"/>
  <c r="BG919" i="6"/>
  <c r="BF919" i="6" s="1"/>
  <c r="BD1506" i="6" s="1"/>
  <c r="BE1506" i="6" s="1"/>
  <c r="BE921" i="6" l="1"/>
  <c r="BG920" i="6"/>
  <c r="BF920" i="6" s="1"/>
  <c r="BE922" i="6" l="1"/>
  <c r="BG921" i="6"/>
  <c r="BF921" i="6" s="1"/>
  <c r="BE923" i="6" l="1"/>
  <c r="BG922" i="6"/>
  <c r="BF922" i="6" s="1"/>
  <c r="BE924" i="6" l="1"/>
  <c r="BG923" i="6"/>
  <c r="BF923" i="6" s="1"/>
  <c r="BE925" i="6" l="1"/>
  <c r="BG924" i="6"/>
  <c r="BF924" i="6" s="1"/>
  <c r="BE926" i="6" l="1"/>
  <c r="BG925" i="6"/>
  <c r="BF925" i="6" s="1"/>
  <c r="BE927" i="6" l="1"/>
  <c r="BG926" i="6"/>
  <c r="BF926" i="6" s="1"/>
  <c r="BE928" i="6" l="1"/>
  <c r="BG927" i="6"/>
  <c r="BF927" i="6" s="1"/>
  <c r="BE929" i="6" l="1"/>
  <c r="BG928" i="6"/>
  <c r="BF928" i="6" s="1"/>
  <c r="BE930" i="6" l="1"/>
  <c r="BG929" i="6"/>
  <c r="BF929" i="6" s="1"/>
  <c r="BE931" i="6" l="1"/>
  <c r="BG930" i="6"/>
  <c r="BF930" i="6" s="1"/>
  <c r="BE932" i="6" l="1"/>
  <c r="BG931" i="6"/>
  <c r="BF931" i="6" s="1"/>
  <c r="BE933" i="6" l="1"/>
  <c r="BG932" i="6"/>
  <c r="BF932" i="6" s="1"/>
  <c r="BE934" i="6" l="1"/>
  <c r="BG933" i="6"/>
  <c r="BF933" i="6" s="1"/>
  <c r="BE935" i="6" l="1"/>
  <c r="BG934" i="6"/>
  <c r="BF934" i="6" s="1"/>
  <c r="BD1507" i="6" s="1"/>
  <c r="BE1507" i="6" s="1"/>
  <c r="BE936" i="6" l="1"/>
  <c r="BG935" i="6"/>
  <c r="BF935" i="6" s="1"/>
  <c r="BE937" i="6" l="1"/>
  <c r="BG936" i="6"/>
  <c r="BF936" i="6" s="1"/>
  <c r="BE938" i="6" l="1"/>
  <c r="BG937" i="6"/>
  <c r="BF937" i="6" s="1"/>
  <c r="BE939" i="6" l="1"/>
  <c r="BG938" i="6"/>
  <c r="BF938" i="6" s="1"/>
  <c r="BE940" i="6" l="1"/>
  <c r="BG939" i="6"/>
  <c r="BF939" i="6" s="1"/>
  <c r="BE941" i="6" l="1"/>
  <c r="BG940" i="6"/>
  <c r="BF940" i="6" s="1"/>
  <c r="BE942" i="6" l="1"/>
  <c r="BG941" i="6"/>
  <c r="BF941" i="6" s="1"/>
  <c r="BE943" i="6" l="1"/>
  <c r="BG942" i="6"/>
  <c r="BF942" i="6" s="1"/>
  <c r="BE944" i="6" l="1"/>
  <c r="BG943" i="6"/>
  <c r="BF943" i="6" s="1"/>
  <c r="BE945" i="6" l="1"/>
  <c r="BG944" i="6"/>
  <c r="BF944" i="6" s="1"/>
  <c r="BE946" i="6" l="1"/>
  <c r="BG945" i="6"/>
  <c r="BF945" i="6" s="1"/>
  <c r="BE947" i="6" l="1"/>
  <c r="BG946" i="6"/>
  <c r="BF946" i="6" s="1"/>
  <c r="BE948" i="6" l="1"/>
  <c r="BG947" i="6"/>
  <c r="BF947" i="6" s="1"/>
  <c r="BE949" i="6" l="1"/>
  <c r="BG948" i="6"/>
  <c r="BF948" i="6" s="1"/>
  <c r="BE950" i="6" l="1"/>
  <c r="BG949" i="6"/>
  <c r="BF949" i="6" s="1"/>
  <c r="BD1508" i="6" s="1"/>
  <c r="BE1508" i="6" s="1"/>
  <c r="BE951" i="6" l="1"/>
  <c r="BG950" i="6"/>
  <c r="BF950" i="6" s="1"/>
  <c r="BE952" i="6" l="1"/>
  <c r="BG951" i="6"/>
  <c r="BF951" i="6" s="1"/>
  <c r="BE953" i="6" l="1"/>
  <c r="BG952" i="6"/>
  <c r="BF952" i="6" s="1"/>
  <c r="BE954" i="6" l="1"/>
  <c r="BG953" i="6"/>
  <c r="BF953" i="6" s="1"/>
  <c r="BE955" i="6" l="1"/>
  <c r="BG954" i="6"/>
  <c r="BF954" i="6" s="1"/>
  <c r="BE956" i="6" l="1"/>
  <c r="BG955" i="6"/>
  <c r="BF955" i="6" s="1"/>
  <c r="BE957" i="6" l="1"/>
  <c r="BG956" i="6"/>
  <c r="BF956" i="6" s="1"/>
  <c r="BE958" i="6" l="1"/>
  <c r="BG957" i="6"/>
  <c r="BF957" i="6" s="1"/>
  <c r="BE959" i="6" l="1"/>
  <c r="BG958" i="6"/>
  <c r="BF958" i="6" s="1"/>
  <c r="BE960" i="6" l="1"/>
  <c r="BG959" i="6"/>
  <c r="BF959" i="6" s="1"/>
  <c r="BE961" i="6" l="1"/>
  <c r="BG960" i="6"/>
  <c r="BF960" i="6" s="1"/>
  <c r="BE962" i="6" l="1"/>
  <c r="BG961" i="6"/>
  <c r="BF961" i="6" s="1"/>
  <c r="BE963" i="6" l="1"/>
  <c r="BG962" i="6"/>
  <c r="BF962" i="6" s="1"/>
  <c r="BE964" i="6" l="1"/>
  <c r="BG963" i="6"/>
  <c r="BF963" i="6" s="1"/>
  <c r="BE965" i="6" l="1"/>
  <c r="BG964" i="6"/>
  <c r="BF964" i="6" s="1"/>
  <c r="BD1509" i="6" s="1"/>
  <c r="BE1509" i="6" s="1"/>
  <c r="BE966" i="6" l="1"/>
  <c r="BG965" i="6"/>
  <c r="BF965" i="6" s="1"/>
  <c r="BE967" i="6" l="1"/>
  <c r="BG966" i="6"/>
  <c r="BF966" i="6" s="1"/>
  <c r="BE968" i="6" l="1"/>
  <c r="BG967" i="6"/>
  <c r="BF967" i="6" s="1"/>
  <c r="BE969" i="6" l="1"/>
  <c r="BG968" i="6"/>
  <c r="BF968" i="6" s="1"/>
  <c r="BE970" i="6" l="1"/>
  <c r="BG969" i="6"/>
  <c r="BF969" i="6" s="1"/>
  <c r="BE971" i="6" l="1"/>
  <c r="BG970" i="6"/>
  <c r="BF970" i="6" s="1"/>
  <c r="BE972" i="6" l="1"/>
  <c r="BG971" i="6"/>
  <c r="BF971" i="6" s="1"/>
  <c r="BE973" i="6" l="1"/>
  <c r="BG972" i="6"/>
  <c r="BF972" i="6" s="1"/>
  <c r="BE974" i="6" l="1"/>
  <c r="BG973" i="6"/>
  <c r="BF973" i="6" s="1"/>
  <c r="BE975" i="6" l="1"/>
  <c r="BG974" i="6"/>
  <c r="BF974" i="6" s="1"/>
  <c r="BE976" i="6" l="1"/>
  <c r="BG975" i="6"/>
  <c r="BF975" i="6" s="1"/>
  <c r="BE977" i="6" l="1"/>
  <c r="BG976" i="6"/>
  <c r="BF976" i="6" s="1"/>
  <c r="BE978" i="6" l="1"/>
  <c r="BG977" i="6"/>
  <c r="BF977" i="6" s="1"/>
  <c r="BE979" i="6" l="1"/>
  <c r="BG978" i="6"/>
  <c r="BF978" i="6" s="1"/>
  <c r="BE980" i="6" l="1"/>
  <c r="BG979" i="6"/>
  <c r="BF979" i="6" s="1"/>
  <c r="BD1510" i="6" s="1"/>
  <c r="BE1510" i="6" s="1"/>
  <c r="BE981" i="6" l="1"/>
  <c r="BG980" i="6"/>
  <c r="BF980" i="6" s="1"/>
  <c r="BE982" i="6" l="1"/>
  <c r="BG981" i="6"/>
  <c r="BF981" i="6" s="1"/>
  <c r="BE983" i="6" l="1"/>
  <c r="BG982" i="6"/>
  <c r="BF982" i="6" s="1"/>
  <c r="BE984" i="6" l="1"/>
  <c r="BG983" i="6"/>
  <c r="BF983" i="6" s="1"/>
  <c r="BE985" i="6" l="1"/>
  <c r="BG984" i="6"/>
  <c r="BF984" i="6" s="1"/>
  <c r="BE986" i="6" l="1"/>
  <c r="BG985" i="6"/>
  <c r="BF985" i="6" s="1"/>
  <c r="BE987" i="6" l="1"/>
  <c r="BG986" i="6"/>
  <c r="BF986" i="6" s="1"/>
  <c r="BE988" i="6" l="1"/>
  <c r="BG987" i="6"/>
  <c r="BF987" i="6" s="1"/>
  <c r="BE989" i="6" l="1"/>
  <c r="BG988" i="6"/>
  <c r="BF988" i="6" s="1"/>
  <c r="BE990" i="6" l="1"/>
  <c r="BG989" i="6"/>
  <c r="BF989" i="6" s="1"/>
  <c r="BE991" i="6" l="1"/>
  <c r="BG990" i="6"/>
  <c r="BF990" i="6" s="1"/>
  <c r="BE992" i="6" l="1"/>
  <c r="BG991" i="6"/>
  <c r="BF991" i="6" s="1"/>
  <c r="BE993" i="6" l="1"/>
  <c r="BG992" i="6"/>
  <c r="BF992" i="6" s="1"/>
  <c r="BE994" i="6" l="1"/>
  <c r="BG993" i="6"/>
  <c r="BF993" i="6" s="1"/>
  <c r="BE995" i="6" l="1"/>
  <c r="BG994" i="6"/>
  <c r="BF994" i="6" s="1"/>
  <c r="BD1511" i="6" s="1"/>
  <c r="BE1511" i="6" s="1"/>
  <c r="BE996" i="6" l="1"/>
  <c r="BG995" i="6"/>
  <c r="BF995" i="6" s="1"/>
  <c r="BE997" i="6" l="1"/>
  <c r="BG996" i="6"/>
  <c r="BF996" i="6" s="1"/>
  <c r="BE998" i="6" l="1"/>
  <c r="BG997" i="6"/>
  <c r="BF997" i="6" s="1"/>
  <c r="BE999" i="6" l="1"/>
  <c r="BG998" i="6"/>
  <c r="BF998" i="6" s="1"/>
  <c r="BE1000" i="6" l="1"/>
  <c r="BG999" i="6"/>
  <c r="BF999" i="6" s="1"/>
  <c r="BE1001" i="6" l="1"/>
  <c r="BG1000" i="6"/>
  <c r="BF1000" i="6" s="1"/>
  <c r="BE1002" i="6" l="1"/>
  <c r="BG1001" i="6"/>
  <c r="BF1001" i="6" s="1"/>
  <c r="BE1003" i="6" l="1"/>
  <c r="BG1002" i="6"/>
  <c r="BF1002" i="6" s="1"/>
  <c r="BE1004" i="6" l="1"/>
  <c r="BG1003" i="6"/>
  <c r="BF1003" i="6" s="1"/>
  <c r="BE1005" i="6" l="1"/>
  <c r="BG1004" i="6"/>
  <c r="BF1004" i="6" s="1"/>
  <c r="BE1006" i="6" l="1"/>
  <c r="BG1005" i="6"/>
  <c r="BF1005" i="6" s="1"/>
  <c r="BE1007" i="6" l="1"/>
  <c r="BG1006" i="6"/>
  <c r="BF1006" i="6" s="1"/>
  <c r="BE1008" i="6" l="1"/>
  <c r="BG1007" i="6"/>
  <c r="BF1007" i="6" s="1"/>
  <c r="BE1009" i="6" l="1"/>
  <c r="BG1008" i="6"/>
  <c r="BF1008" i="6" s="1"/>
  <c r="BE1010" i="6" l="1"/>
  <c r="BG1009" i="6"/>
  <c r="BF1009" i="6" s="1"/>
  <c r="BD1512" i="6" s="1"/>
  <c r="BE1512" i="6" s="1"/>
  <c r="BE1011" i="6" l="1"/>
  <c r="BG1010" i="6"/>
  <c r="BF1010" i="6" s="1"/>
  <c r="BE1012" i="6" l="1"/>
  <c r="BG1011" i="6"/>
  <c r="BF1011" i="6" s="1"/>
  <c r="BE1013" i="6" l="1"/>
  <c r="BG1012" i="6"/>
  <c r="BF1012" i="6" s="1"/>
  <c r="BE1014" i="6" l="1"/>
  <c r="BG1013" i="6"/>
  <c r="BF1013" i="6" s="1"/>
  <c r="BE1015" i="6" l="1"/>
  <c r="BG1014" i="6"/>
  <c r="BF1014" i="6" s="1"/>
  <c r="BE1016" i="6" l="1"/>
  <c r="BG1015" i="6"/>
  <c r="BF1015" i="6" s="1"/>
  <c r="BE1017" i="6" l="1"/>
  <c r="BG1016" i="6"/>
  <c r="BF1016" i="6" s="1"/>
  <c r="BE1018" i="6" l="1"/>
  <c r="BG1017" i="6"/>
  <c r="BF1017" i="6" s="1"/>
  <c r="BE1019" i="6" l="1"/>
  <c r="BG1018" i="6"/>
  <c r="BF1018" i="6" s="1"/>
  <c r="BE1020" i="6" l="1"/>
  <c r="BG1019" i="6"/>
  <c r="BF1019" i="6" s="1"/>
  <c r="BE1021" i="6" l="1"/>
  <c r="BG1020" i="6"/>
  <c r="BF1020" i="6" s="1"/>
  <c r="BE1022" i="6" l="1"/>
  <c r="BG1021" i="6"/>
  <c r="BF1021" i="6" s="1"/>
  <c r="BE1023" i="6" l="1"/>
  <c r="BG1022" i="6"/>
  <c r="BF1022" i="6" s="1"/>
  <c r="BE1024" i="6" l="1"/>
  <c r="BG1023" i="6"/>
  <c r="BF1023" i="6" s="1"/>
  <c r="BE1025" i="6" l="1"/>
  <c r="BG1024" i="6"/>
  <c r="BF1024" i="6" s="1"/>
  <c r="BD1513" i="6" s="1"/>
  <c r="BE1513" i="6" s="1"/>
  <c r="BE1026" i="6" l="1"/>
  <c r="BG1025" i="6"/>
  <c r="BF1025" i="6" s="1"/>
  <c r="BE1027" i="6" l="1"/>
  <c r="BG1026" i="6"/>
  <c r="BF1026" i="6" s="1"/>
  <c r="BE1028" i="6" l="1"/>
  <c r="BG1027" i="6"/>
  <c r="BF1027" i="6" s="1"/>
  <c r="BE1029" i="6" l="1"/>
  <c r="BG1028" i="6"/>
  <c r="BF1028" i="6" s="1"/>
  <c r="BE1030" i="6" l="1"/>
  <c r="BG1029" i="6"/>
  <c r="BF1029" i="6" s="1"/>
  <c r="BE1031" i="6" l="1"/>
  <c r="BG1030" i="6"/>
  <c r="BF1030" i="6" s="1"/>
  <c r="BE1032" i="6" l="1"/>
  <c r="BG1031" i="6"/>
  <c r="BF1031" i="6" s="1"/>
  <c r="BE1033" i="6" l="1"/>
  <c r="BG1032" i="6"/>
  <c r="BF1032" i="6" s="1"/>
  <c r="BE1034" i="6" l="1"/>
  <c r="BG1033" i="6"/>
  <c r="BF1033" i="6" s="1"/>
  <c r="BE1035" i="6" l="1"/>
  <c r="BG1034" i="6"/>
  <c r="BF1034" i="6" s="1"/>
  <c r="BE1036" i="6" l="1"/>
  <c r="BG1035" i="6"/>
  <c r="BF1035" i="6" s="1"/>
  <c r="BE1037" i="6" l="1"/>
  <c r="BG1036" i="6"/>
  <c r="BF1036" i="6" s="1"/>
  <c r="BE1038" i="6" l="1"/>
  <c r="BG1037" i="6"/>
  <c r="BF1037" i="6" s="1"/>
  <c r="BE1039" i="6" l="1"/>
  <c r="BG1038" i="6"/>
  <c r="BF1038" i="6" s="1"/>
  <c r="BE1040" i="6" l="1"/>
  <c r="BG1039" i="6"/>
  <c r="BF1039" i="6" s="1"/>
  <c r="BD1514" i="6" s="1"/>
  <c r="BE1514" i="6" s="1"/>
  <c r="BE1041" i="6" l="1"/>
  <c r="BG1040" i="6"/>
  <c r="BF1040" i="6" s="1"/>
  <c r="BE1042" i="6" l="1"/>
  <c r="BG1041" i="6"/>
  <c r="BF1041" i="6" s="1"/>
  <c r="BE1043" i="6" l="1"/>
  <c r="BG1042" i="6"/>
  <c r="BF1042" i="6" s="1"/>
  <c r="BE1044" i="6" l="1"/>
  <c r="BG1043" i="6"/>
  <c r="BF1043" i="6" s="1"/>
  <c r="BE1045" i="6" l="1"/>
  <c r="BG1044" i="6"/>
  <c r="BF1044" i="6" s="1"/>
  <c r="BE1046" i="6" l="1"/>
  <c r="BG1045" i="6"/>
  <c r="BF1045" i="6" s="1"/>
  <c r="BE1047" i="6" l="1"/>
  <c r="BG1046" i="6"/>
  <c r="BF1046" i="6" s="1"/>
  <c r="BE1048" i="6" l="1"/>
  <c r="BG1047" i="6"/>
  <c r="BF1047" i="6" s="1"/>
  <c r="BE1049" i="6" l="1"/>
  <c r="BG1048" i="6"/>
  <c r="BF1048" i="6" s="1"/>
  <c r="BE1050" i="6" l="1"/>
  <c r="BG1049" i="6"/>
  <c r="BF1049" i="6" s="1"/>
  <c r="BE1051" i="6" l="1"/>
  <c r="BG1050" i="6"/>
  <c r="BF1050" i="6" s="1"/>
  <c r="BE1052" i="6" l="1"/>
  <c r="BG1051" i="6"/>
  <c r="BF1051" i="6" s="1"/>
  <c r="BE1053" i="6" l="1"/>
  <c r="BG1052" i="6"/>
  <c r="BF1052" i="6" s="1"/>
  <c r="BE1054" i="6" l="1"/>
  <c r="BG1053" i="6"/>
  <c r="BF1053" i="6" s="1"/>
  <c r="BE1055" i="6" l="1"/>
  <c r="BG1054" i="6"/>
  <c r="BF1054" i="6" s="1"/>
  <c r="BD1515" i="6" s="1"/>
  <c r="BE1515" i="6" s="1"/>
  <c r="BE1056" i="6" l="1"/>
  <c r="BG1055" i="6"/>
  <c r="BF1055" i="6" s="1"/>
  <c r="BE1057" i="6" l="1"/>
  <c r="BG1056" i="6"/>
  <c r="BF1056" i="6" s="1"/>
  <c r="BE1058" i="6" l="1"/>
  <c r="BG1057" i="6"/>
  <c r="BF1057" i="6" s="1"/>
  <c r="BE1059" i="6" l="1"/>
  <c r="BG1058" i="6"/>
  <c r="BF1058" i="6" s="1"/>
  <c r="BE1060" i="6" l="1"/>
  <c r="BG1059" i="6"/>
  <c r="BF1059" i="6" s="1"/>
  <c r="BE1061" i="6" l="1"/>
  <c r="BG1060" i="6"/>
  <c r="BF1060" i="6" s="1"/>
  <c r="BE1062" i="6" l="1"/>
  <c r="BG1061" i="6"/>
  <c r="BF1061" i="6" s="1"/>
  <c r="BE1063" i="6" l="1"/>
  <c r="BG1062" i="6"/>
  <c r="BF1062" i="6" s="1"/>
  <c r="BE1064" i="6" l="1"/>
  <c r="BG1063" i="6"/>
  <c r="BF1063" i="6" s="1"/>
  <c r="BE1065" i="6" l="1"/>
  <c r="BG1064" i="6"/>
  <c r="BF1064" i="6" s="1"/>
  <c r="BE1066" i="6" l="1"/>
  <c r="BG1065" i="6"/>
  <c r="BF1065" i="6" s="1"/>
  <c r="BE1067" i="6" l="1"/>
  <c r="BG1066" i="6"/>
  <c r="BF1066" i="6" s="1"/>
  <c r="BE1068" i="6" l="1"/>
  <c r="BG1067" i="6"/>
  <c r="BF1067" i="6" s="1"/>
  <c r="BE1069" i="6" l="1"/>
  <c r="BG1068" i="6"/>
  <c r="BF1068" i="6" s="1"/>
  <c r="BE1070" i="6" l="1"/>
  <c r="BG1069" i="6"/>
  <c r="BF1069" i="6" s="1"/>
  <c r="BD1516" i="6" s="1"/>
  <c r="BE1516" i="6" s="1"/>
  <c r="BE1071" i="6" l="1"/>
  <c r="BG1070" i="6"/>
  <c r="BF1070" i="6" s="1"/>
  <c r="BE1072" i="6" l="1"/>
  <c r="BG1071" i="6"/>
  <c r="BF1071" i="6" s="1"/>
  <c r="BE1073" i="6" l="1"/>
  <c r="BG1072" i="6"/>
  <c r="BF1072" i="6" s="1"/>
  <c r="BE1074" i="6" l="1"/>
  <c r="BG1073" i="6"/>
  <c r="BF1073" i="6" s="1"/>
  <c r="BE1075" i="6" l="1"/>
  <c r="BG1074" i="6"/>
  <c r="BF1074" i="6" s="1"/>
  <c r="BE1076" i="6" l="1"/>
  <c r="BG1075" i="6"/>
  <c r="BF1075" i="6" s="1"/>
  <c r="BE1077" i="6" l="1"/>
  <c r="BG1076" i="6"/>
  <c r="BF1076" i="6" s="1"/>
  <c r="BE1078" i="6" l="1"/>
  <c r="BG1077" i="6"/>
  <c r="BF1077" i="6" s="1"/>
  <c r="BE1079" i="6" l="1"/>
  <c r="BG1078" i="6"/>
  <c r="BF1078" i="6" s="1"/>
  <c r="BE1080" i="6" l="1"/>
  <c r="BG1079" i="6"/>
  <c r="BF1079" i="6" s="1"/>
  <c r="BE1081" i="6" l="1"/>
  <c r="BG1080" i="6"/>
  <c r="BF1080" i="6" s="1"/>
  <c r="BE1082" i="6" l="1"/>
  <c r="BG1081" i="6"/>
  <c r="BF1081" i="6" s="1"/>
  <c r="BE1083" i="6" l="1"/>
  <c r="BG1082" i="6"/>
  <c r="BF1082" i="6" s="1"/>
  <c r="BE1084" i="6" l="1"/>
  <c r="BG1083" i="6"/>
  <c r="BF1083" i="6" s="1"/>
  <c r="BE1085" i="6" l="1"/>
  <c r="BG1084" i="6"/>
  <c r="BF1084" i="6" s="1"/>
  <c r="BD1517" i="6" s="1"/>
  <c r="BE1517" i="6" s="1"/>
  <c r="BE1086" i="6" l="1"/>
  <c r="BG1085" i="6"/>
  <c r="BF1085" i="6" s="1"/>
  <c r="BE1087" i="6" l="1"/>
  <c r="BG1086" i="6"/>
  <c r="BF1086" i="6" s="1"/>
  <c r="BE1088" i="6" l="1"/>
  <c r="BG1087" i="6"/>
  <c r="BF1087" i="6" s="1"/>
  <c r="BE1089" i="6" l="1"/>
  <c r="BG1088" i="6"/>
  <c r="BF1088" i="6" s="1"/>
  <c r="BE1090" i="6" l="1"/>
  <c r="BG1089" i="6"/>
  <c r="BF1089" i="6" s="1"/>
  <c r="BE1091" i="6" l="1"/>
  <c r="BG1090" i="6"/>
  <c r="BF1090" i="6" s="1"/>
  <c r="BE1092" i="6" l="1"/>
  <c r="BG1091" i="6"/>
  <c r="BF1091" i="6" s="1"/>
  <c r="BE1093" i="6" l="1"/>
  <c r="BG1092" i="6"/>
  <c r="BF1092" i="6" s="1"/>
  <c r="BE1094" i="6" l="1"/>
  <c r="BG1093" i="6"/>
  <c r="BF1093" i="6" s="1"/>
  <c r="BE1095" i="6" l="1"/>
  <c r="BG1094" i="6"/>
  <c r="BF1094" i="6" s="1"/>
  <c r="BE1096" i="6" l="1"/>
  <c r="BG1095" i="6"/>
  <c r="BF1095" i="6" s="1"/>
  <c r="BE1097" i="6" l="1"/>
  <c r="BG1096" i="6"/>
  <c r="BF1096" i="6" s="1"/>
  <c r="BE1098" i="6" l="1"/>
  <c r="BG1097" i="6"/>
  <c r="BF1097" i="6" s="1"/>
  <c r="BE1099" i="6" l="1"/>
  <c r="BG1098" i="6"/>
  <c r="BF1098" i="6" s="1"/>
  <c r="BE1100" i="6" l="1"/>
  <c r="BG1099" i="6"/>
  <c r="BF1099" i="6" s="1"/>
  <c r="BD1518" i="6" s="1"/>
  <c r="BE1518" i="6" s="1"/>
  <c r="BE1101" i="6" l="1"/>
  <c r="BG1100" i="6"/>
  <c r="BF1100" i="6" s="1"/>
  <c r="BE1102" i="6" l="1"/>
  <c r="BG1101" i="6"/>
  <c r="BF1101" i="6" s="1"/>
  <c r="BE1103" i="6" l="1"/>
  <c r="BG1102" i="6"/>
  <c r="BF1102" i="6" s="1"/>
  <c r="BE1104" i="6" l="1"/>
  <c r="BG1103" i="6"/>
  <c r="BF1103" i="6" s="1"/>
  <c r="BE1105" i="6" l="1"/>
  <c r="BG1104" i="6"/>
  <c r="BF1104" i="6" s="1"/>
  <c r="BE1106" i="6" l="1"/>
  <c r="BG1105" i="6"/>
  <c r="BF1105" i="6" s="1"/>
  <c r="BE1107" i="6" l="1"/>
  <c r="BG1106" i="6"/>
  <c r="BF1106" i="6" s="1"/>
  <c r="BE1108" i="6" l="1"/>
  <c r="BG1107" i="6"/>
  <c r="BF1107" i="6" s="1"/>
  <c r="BE1109" i="6" l="1"/>
  <c r="BG1108" i="6"/>
  <c r="BF1108" i="6" s="1"/>
  <c r="BE1110" i="6" l="1"/>
  <c r="BG1109" i="6"/>
  <c r="BF1109" i="6" s="1"/>
  <c r="BE1111" i="6" l="1"/>
  <c r="BG1110" i="6"/>
  <c r="BF1110" i="6" s="1"/>
  <c r="BE1112" i="6" l="1"/>
  <c r="BG1111" i="6"/>
  <c r="BF1111" i="6" s="1"/>
  <c r="BE1113" i="6" l="1"/>
  <c r="BG1112" i="6"/>
  <c r="BF1112" i="6" s="1"/>
  <c r="BE1114" i="6" l="1"/>
  <c r="BG1113" i="6"/>
  <c r="BF1113" i="6" s="1"/>
  <c r="BE1115" i="6" l="1"/>
  <c r="BG1114" i="6"/>
  <c r="BF1114" i="6" s="1"/>
  <c r="BD1519" i="6" s="1"/>
  <c r="BE1519" i="6" s="1"/>
  <c r="BE1116" i="6" l="1"/>
  <c r="BG1115" i="6"/>
  <c r="BF1115" i="6" s="1"/>
  <c r="BE1117" i="6" l="1"/>
  <c r="BG1116" i="6"/>
  <c r="BF1116" i="6" s="1"/>
  <c r="BE1118" i="6" l="1"/>
  <c r="BG1117" i="6"/>
  <c r="BF1117" i="6" s="1"/>
  <c r="BE1119" i="6" l="1"/>
  <c r="BG1118" i="6"/>
  <c r="BF1118" i="6" s="1"/>
  <c r="BE1120" i="6" l="1"/>
  <c r="BG1119" i="6"/>
  <c r="BF1119" i="6" s="1"/>
  <c r="BE1121" i="6" l="1"/>
  <c r="BG1120" i="6"/>
  <c r="BF1120" i="6" s="1"/>
  <c r="BE1122" i="6" l="1"/>
  <c r="BG1121" i="6"/>
  <c r="BF1121" i="6" s="1"/>
  <c r="BE1123" i="6" l="1"/>
  <c r="BG1122" i="6"/>
  <c r="BF1122" i="6" s="1"/>
  <c r="BE1124" i="6" l="1"/>
  <c r="BG1123" i="6"/>
  <c r="BF1123" i="6" s="1"/>
  <c r="BE1125" i="6" l="1"/>
  <c r="BG1124" i="6"/>
  <c r="BF1124" i="6" s="1"/>
  <c r="BE1126" i="6" l="1"/>
  <c r="BG1125" i="6"/>
  <c r="BF1125" i="6" s="1"/>
  <c r="BE1127" i="6" l="1"/>
  <c r="BG1126" i="6"/>
  <c r="BF1126" i="6" s="1"/>
  <c r="BE1128" i="6" l="1"/>
  <c r="BG1127" i="6"/>
  <c r="BF1127" i="6" s="1"/>
  <c r="BE1129" i="6" l="1"/>
  <c r="BG1128" i="6"/>
  <c r="BF1128" i="6" s="1"/>
  <c r="BE1130" i="6" l="1"/>
  <c r="BG1129" i="6"/>
  <c r="BF1129" i="6" s="1"/>
  <c r="BD1520" i="6" s="1"/>
  <c r="BE1520" i="6" s="1"/>
  <c r="BE1131" i="6" l="1"/>
  <c r="BG1130" i="6"/>
  <c r="BF1130" i="6" s="1"/>
  <c r="BE1132" i="6" l="1"/>
  <c r="BG1131" i="6"/>
  <c r="BF1131" i="6" s="1"/>
  <c r="BE1133" i="6" l="1"/>
  <c r="BG1132" i="6"/>
  <c r="BF1132" i="6" s="1"/>
  <c r="BE1134" i="6" l="1"/>
  <c r="BG1133" i="6"/>
  <c r="BF1133" i="6" s="1"/>
  <c r="BE1135" i="6" l="1"/>
  <c r="BG1134" i="6"/>
  <c r="BF1134" i="6" s="1"/>
  <c r="BE1136" i="6" l="1"/>
  <c r="BG1135" i="6"/>
  <c r="BF1135" i="6" s="1"/>
  <c r="BE1137" i="6" l="1"/>
  <c r="BG1136" i="6"/>
  <c r="BF1136" i="6" s="1"/>
  <c r="BE1138" i="6" l="1"/>
  <c r="BG1137" i="6"/>
  <c r="BF1137" i="6" s="1"/>
  <c r="BE1139" i="6" l="1"/>
  <c r="BG1138" i="6"/>
  <c r="BF1138" i="6" s="1"/>
  <c r="BE1140" i="6" l="1"/>
  <c r="BG1139" i="6"/>
  <c r="BF1139" i="6" s="1"/>
  <c r="BE1141" i="6" l="1"/>
  <c r="BG1140" i="6"/>
  <c r="BF1140" i="6" s="1"/>
  <c r="BE1142" i="6" l="1"/>
  <c r="BG1141" i="6"/>
  <c r="BF1141" i="6" s="1"/>
  <c r="BE1143" i="6" l="1"/>
  <c r="BG1142" i="6"/>
  <c r="BF1142" i="6" s="1"/>
  <c r="BE1144" i="6" l="1"/>
  <c r="BG1143" i="6"/>
  <c r="BF1143" i="6" s="1"/>
  <c r="BE1145" i="6" l="1"/>
  <c r="BG1144" i="6"/>
  <c r="BF1144" i="6" s="1"/>
  <c r="BD1521" i="6" s="1"/>
  <c r="BE1521" i="6" s="1"/>
  <c r="BE1146" i="6" l="1"/>
  <c r="BG1145" i="6"/>
  <c r="BF1145" i="6" s="1"/>
  <c r="BE1147" i="6" l="1"/>
  <c r="BG1146" i="6"/>
  <c r="BF1146" i="6" s="1"/>
  <c r="BE1148" i="6" l="1"/>
  <c r="BG1147" i="6"/>
  <c r="BF1147" i="6" s="1"/>
  <c r="BE1149" i="6" l="1"/>
  <c r="BG1148" i="6"/>
  <c r="BF1148" i="6" s="1"/>
  <c r="BE1150" i="6" l="1"/>
  <c r="BG1149" i="6"/>
  <c r="BF1149" i="6" s="1"/>
  <c r="BE1151" i="6" l="1"/>
  <c r="BG1150" i="6"/>
  <c r="BF1150" i="6" s="1"/>
  <c r="BE1152" i="6" l="1"/>
  <c r="BG1151" i="6"/>
  <c r="BF1151" i="6" s="1"/>
  <c r="BE1153" i="6" l="1"/>
  <c r="BG1152" i="6"/>
  <c r="BF1152" i="6" s="1"/>
  <c r="BE1154" i="6" l="1"/>
  <c r="BG1153" i="6"/>
  <c r="BF1153" i="6" s="1"/>
  <c r="BE1155" i="6" l="1"/>
  <c r="BG1154" i="6"/>
  <c r="BF1154" i="6" s="1"/>
  <c r="BE1156" i="6" l="1"/>
  <c r="BG1155" i="6"/>
  <c r="BF1155" i="6" s="1"/>
  <c r="BE1157" i="6" l="1"/>
  <c r="BG1156" i="6"/>
  <c r="BF1156" i="6" s="1"/>
  <c r="BE1158" i="6" l="1"/>
  <c r="BG1157" i="6"/>
  <c r="BF1157" i="6" s="1"/>
  <c r="BE1159" i="6" l="1"/>
  <c r="BG1158" i="6"/>
  <c r="BF1158" i="6" s="1"/>
  <c r="BE1160" i="6" l="1"/>
  <c r="BG1159" i="6"/>
  <c r="BF1159" i="6" s="1"/>
  <c r="BD1522" i="6" s="1"/>
  <c r="BE1522" i="6" s="1"/>
  <c r="BE1161" i="6" l="1"/>
  <c r="BG1160" i="6"/>
  <c r="BF1160" i="6" s="1"/>
  <c r="BE1162" i="6" l="1"/>
  <c r="BG1161" i="6"/>
  <c r="BF1161" i="6" s="1"/>
  <c r="BE1163" i="6" l="1"/>
  <c r="BG1162" i="6"/>
  <c r="BF1162" i="6" s="1"/>
  <c r="BE1164" i="6" l="1"/>
  <c r="BG1163" i="6"/>
  <c r="BF1163" i="6" s="1"/>
  <c r="BG1164" i="6" l="1"/>
  <c r="BF1164" i="6" s="1"/>
  <c r="BE1165" i="6"/>
  <c r="BG1165" i="6" l="1"/>
  <c r="BF1165" i="6" s="1"/>
  <c r="BE1166" i="6"/>
  <c r="BG1166" i="6" l="1"/>
  <c r="BF1166" i="6" s="1"/>
  <c r="BE1167" i="6"/>
  <c r="BG1167" i="6" l="1"/>
  <c r="BF1167" i="6" s="1"/>
  <c r="BE1168" i="6"/>
  <c r="BE1169" i="6" l="1"/>
  <c r="BG1168" i="6"/>
  <c r="BF1168" i="6" s="1"/>
  <c r="BE1170" i="6" l="1"/>
  <c r="BG1169" i="6"/>
  <c r="BF1169" i="6" s="1"/>
  <c r="BE1171" i="6" l="1"/>
  <c r="BG1170" i="6"/>
  <c r="BF1170" i="6" s="1"/>
  <c r="BE1172" i="6" l="1"/>
  <c r="BG1171" i="6"/>
  <c r="BF1171" i="6" s="1"/>
  <c r="BG1172" i="6" l="1"/>
  <c r="BF1172" i="6" s="1"/>
  <c r="BE1173" i="6"/>
  <c r="BE1174" i="6" l="1"/>
  <c r="BG1173" i="6"/>
  <c r="BF1173" i="6" s="1"/>
  <c r="BE1175" i="6" l="1"/>
  <c r="BG1174" i="6"/>
  <c r="BF1174" i="6" s="1"/>
  <c r="BD1523" i="6" s="1"/>
  <c r="BE1523" i="6" s="1"/>
  <c r="BG1175" i="6" l="1"/>
  <c r="BF1175" i="6" s="1"/>
  <c r="BE1176" i="6"/>
  <c r="BE1177" i="6" l="1"/>
  <c r="BG1176" i="6"/>
  <c r="BF1176" i="6" s="1"/>
  <c r="BE1178" i="6" l="1"/>
  <c r="BG1177" i="6"/>
  <c r="BF1177" i="6" s="1"/>
  <c r="BG1178" i="6" l="1"/>
  <c r="BF1178" i="6" s="1"/>
  <c r="BE1179" i="6"/>
  <c r="BG1179" i="6" l="1"/>
  <c r="BF1179" i="6" s="1"/>
  <c r="BE1180" i="6"/>
  <c r="BG1180" i="6" l="1"/>
  <c r="BF1180" i="6" s="1"/>
  <c r="BE1181" i="6"/>
  <c r="BG1181" i="6" l="1"/>
  <c r="BF1181" i="6" s="1"/>
  <c r="BE1182" i="6"/>
  <c r="BG1182" i="6" l="1"/>
  <c r="BF1182" i="6" s="1"/>
  <c r="BE1183" i="6"/>
  <c r="BE1184" i="6" l="1"/>
  <c r="BG1183" i="6"/>
  <c r="BF1183" i="6" s="1"/>
  <c r="BG1184" i="6" l="1"/>
  <c r="BF1184" i="6" s="1"/>
  <c r="BE1185" i="6"/>
  <c r="BG1185" i="6" l="1"/>
  <c r="BF1185" i="6" s="1"/>
  <c r="BE1186" i="6"/>
  <c r="BG1186" i="6" l="1"/>
  <c r="BF1186" i="6" s="1"/>
  <c r="BE1187" i="6"/>
  <c r="BG1187" i="6" l="1"/>
  <c r="BF1187" i="6" s="1"/>
  <c r="BE1188" i="6"/>
  <c r="BG1188" i="6" l="1"/>
  <c r="BF1188" i="6" s="1"/>
  <c r="BE1189" i="6"/>
  <c r="BE1190" i="6" l="1"/>
  <c r="BG1189" i="6"/>
  <c r="BF1189" i="6" s="1"/>
  <c r="BD1524" i="6" s="1"/>
  <c r="BE1524" i="6" s="1"/>
  <c r="BG1190" i="6" l="1"/>
  <c r="BF1190" i="6" s="1"/>
  <c r="BE1191" i="6"/>
  <c r="BG1191" i="6" l="1"/>
  <c r="BF1191" i="6" s="1"/>
  <c r="BE1192" i="6"/>
  <c r="BG1192" i="6" l="1"/>
  <c r="BF1192" i="6" s="1"/>
  <c r="BE1193" i="6"/>
  <c r="BG1193" i="6" l="1"/>
  <c r="BF1193" i="6" s="1"/>
  <c r="BE1194" i="6"/>
  <c r="BE1195" i="6" l="1"/>
  <c r="BG1194" i="6"/>
  <c r="BF1194" i="6" s="1"/>
  <c r="BE1196" i="6" l="1"/>
  <c r="BG1195" i="6"/>
  <c r="BF1195" i="6" s="1"/>
  <c r="BE1197" i="6" l="1"/>
  <c r="BG1196" i="6"/>
  <c r="BF1196" i="6" s="1"/>
  <c r="BG1197" i="6" l="1"/>
  <c r="BF1197" i="6" s="1"/>
  <c r="BE1198" i="6"/>
  <c r="BG1198" i="6" l="1"/>
  <c r="BF1198" i="6" s="1"/>
  <c r="BE1199" i="6"/>
  <c r="BE1200" i="6" l="1"/>
  <c r="BG1199" i="6"/>
  <c r="BF1199" i="6" s="1"/>
  <c r="BG1200" i="6" l="1"/>
  <c r="BF1200" i="6" s="1"/>
  <c r="BE1201" i="6"/>
  <c r="BG1201" i="6" l="1"/>
  <c r="BF1201" i="6" s="1"/>
  <c r="BE1202" i="6"/>
  <c r="BE1203" i="6" l="1"/>
  <c r="BG1202" i="6"/>
  <c r="BF1202" i="6" s="1"/>
  <c r="BE1204" i="6" l="1"/>
  <c r="BG1203" i="6"/>
  <c r="BF1203" i="6" s="1"/>
  <c r="BG1204" i="6" l="1"/>
  <c r="BF1204" i="6" s="1"/>
  <c r="BD1525" i="6" s="1"/>
  <c r="BE1525" i="6" s="1"/>
  <c r="BE1205" i="6"/>
  <c r="BE1206" i="6" l="1"/>
  <c r="BG1205" i="6"/>
  <c r="BF1205" i="6" s="1"/>
  <c r="BE1207" i="6" l="1"/>
  <c r="BG1206" i="6"/>
  <c r="BF1206" i="6" s="1"/>
  <c r="BE1208" i="6" l="1"/>
  <c r="BG1207" i="6"/>
  <c r="BF1207" i="6" s="1"/>
  <c r="BE1209" i="6" l="1"/>
  <c r="BG1208" i="6"/>
  <c r="BF1208" i="6" s="1"/>
  <c r="BE1210" i="6" l="1"/>
  <c r="BG1209" i="6"/>
  <c r="BF1209" i="6" s="1"/>
  <c r="BE1211" i="6" l="1"/>
  <c r="BG1210" i="6"/>
  <c r="BF1210" i="6" s="1"/>
  <c r="BE1212" i="6" l="1"/>
  <c r="BG1211" i="6"/>
  <c r="BF1211" i="6" s="1"/>
  <c r="BE1213" i="6" l="1"/>
  <c r="BG1212" i="6"/>
  <c r="BF1212" i="6" s="1"/>
  <c r="BE1214" i="6" l="1"/>
  <c r="BG1213" i="6"/>
  <c r="BF1213" i="6" s="1"/>
  <c r="BE1215" i="6" l="1"/>
  <c r="BG1214" i="6"/>
  <c r="BF1214" i="6" s="1"/>
  <c r="BE1216" i="6" l="1"/>
  <c r="BG1215" i="6"/>
  <c r="BF1215" i="6" s="1"/>
  <c r="BE1217" i="6" l="1"/>
  <c r="BG1216" i="6"/>
  <c r="BF1216" i="6" s="1"/>
  <c r="BE1218" i="6" l="1"/>
  <c r="BG1217" i="6"/>
  <c r="BF1217" i="6" s="1"/>
  <c r="BE1219" i="6" l="1"/>
  <c r="BG1218" i="6"/>
  <c r="BF1218" i="6" s="1"/>
  <c r="BE1220" i="6" l="1"/>
  <c r="BG1219" i="6"/>
  <c r="BF1219" i="6" s="1"/>
  <c r="BD1526" i="6" s="1"/>
  <c r="BE1526" i="6" s="1"/>
  <c r="BE1221" i="6" l="1"/>
  <c r="BG1220" i="6"/>
  <c r="BF1220" i="6" s="1"/>
  <c r="BE1222" i="6" l="1"/>
  <c r="BG1221" i="6"/>
  <c r="BF1221" i="6" s="1"/>
  <c r="BE1223" i="6" l="1"/>
  <c r="BG1222" i="6"/>
  <c r="BF1222" i="6" s="1"/>
  <c r="BE1224" i="6" l="1"/>
  <c r="BG1223" i="6"/>
  <c r="BF1223" i="6" s="1"/>
  <c r="BE1225" i="6" l="1"/>
  <c r="BG1224" i="6"/>
  <c r="BF1224" i="6" s="1"/>
  <c r="BE1226" i="6" l="1"/>
  <c r="BG1225" i="6"/>
  <c r="BF1225" i="6" s="1"/>
  <c r="BE1227" i="6" l="1"/>
  <c r="BG1226" i="6"/>
  <c r="BF1226" i="6" s="1"/>
  <c r="BE1228" i="6" l="1"/>
  <c r="BG1227" i="6"/>
  <c r="BF1227" i="6" s="1"/>
  <c r="BE1229" i="6" l="1"/>
  <c r="BG1228" i="6"/>
  <c r="BF1228" i="6" s="1"/>
  <c r="BE1230" i="6" l="1"/>
  <c r="BG1229" i="6"/>
  <c r="BF1229" i="6" s="1"/>
  <c r="BE1231" i="6" l="1"/>
  <c r="BG1230" i="6"/>
  <c r="BF1230" i="6" s="1"/>
  <c r="BE1232" i="6" l="1"/>
  <c r="BG1231" i="6"/>
  <c r="BF1231" i="6" s="1"/>
  <c r="BE1233" i="6" l="1"/>
  <c r="BG1232" i="6"/>
  <c r="BF1232" i="6" s="1"/>
  <c r="BE1234" i="6" l="1"/>
  <c r="BG1233" i="6"/>
  <c r="BF1233" i="6" s="1"/>
  <c r="BE1235" i="6" l="1"/>
  <c r="BG1234" i="6"/>
  <c r="BF1234" i="6" s="1"/>
  <c r="BD1527" i="6" s="1"/>
  <c r="BE1527" i="6" s="1"/>
  <c r="BE1236" i="6" l="1"/>
  <c r="BG1235" i="6"/>
  <c r="BF1235" i="6" s="1"/>
  <c r="BE1237" i="6" l="1"/>
  <c r="BG1236" i="6"/>
  <c r="BF1236" i="6" s="1"/>
  <c r="BE1238" i="6" l="1"/>
  <c r="BG1237" i="6"/>
  <c r="BF1237" i="6" s="1"/>
  <c r="BE1239" i="6" l="1"/>
  <c r="BG1238" i="6"/>
  <c r="BF1238" i="6" s="1"/>
  <c r="BE1240" i="6" l="1"/>
  <c r="BG1239" i="6"/>
  <c r="BF1239" i="6" s="1"/>
  <c r="BE1241" i="6" l="1"/>
  <c r="BG1240" i="6"/>
  <c r="BF1240" i="6" s="1"/>
  <c r="BE1242" i="6" l="1"/>
  <c r="BG1241" i="6"/>
  <c r="BF1241" i="6" s="1"/>
  <c r="BE1243" i="6" l="1"/>
  <c r="BG1242" i="6"/>
  <c r="BF1242" i="6" s="1"/>
  <c r="BE1244" i="6" l="1"/>
  <c r="BG1243" i="6"/>
  <c r="BF1243" i="6" s="1"/>
  <c r="BE1245" i="6" l="1"/>
  <c r="BG1244" i="6"/>
  <c r="BF1244" i="6" s="1"/>
  <c r="BE1246" i="6" l="1"/>
  <c r="BG1245" i="6"/>
  <c r="BF1245" i="6" s="1"/>
  <c r="BE1247" i="6" l="1"/>
  <c r="BG1246" i="6"/>
  <c r="BF1246" i="6" s="1"/>
  <c r="BE1248" i="6" l="1"/>
  <c r="BG1247" i="6"/>
  <c r="BF1247" i="6" s="1"/>
  <c r="BE1249" i="6" l="1"/>
  <c r="BG1248" i="6"/>
  <c r="BF1248" i="6" s="1"/>
  <c r="BE1250" i="6" l="1"/>
  <c r="BG1249" i="6"/>
  <c r="BF1249" i="6" s="1"/>
  <c r="BD1528" i="6" s="1"/>
  <c r="BE1528" i="6" s="1"/>
  <c r="BE1251" i="6" l="1"/>
  <c r="BG1250" i="6"/>
  <c r="BF1250" i="6" s="1"/>
  <c r="BE1252" i="6" l="1"/>
  <c r="BG1251" i="6"/>
  <c r="BF1251" i="6" s="1"/>
  <c r="BG1252" i="6" l="1"/>
  <c r="BF1252" i="6" s="1"/>
  <c r="BE1253" i="6"/>
  <c r="BE1254" i="6" l="1"/>
  <c r="BG1253" i="6"/>
  <c r="BF1253" i="6" s="1"/>
  <c r="BE1255" i="6" l="1"/>
  <c r="BG1254" i="6"/>
  <c r="BF1254" i="6" s="1"/>
  <c r="BE1256" i="6" l="1"/>
  <c r="BG1255" i="6"/>
  <c r="BF1255" i="6" s="1"/>
  <c r="BG1256" i="6" l="1"/>
  <c r="BF1256" i="6" s="1"/>
  <c r="BE1257" i="6"/>
  <c r="BE1258" i="6" l="1"/>
  <c r="BG1257" i="6"/>
  <c r="BF1257" i="6" s="1"/>
  <c r="BG1258" i="6" l="1"/>
  <c r="BF1258" i="6" s="1"/>
  <c r="BE1259" i="6"/>
  <c r="BG1259" i="6" l="1"/>
  <c r="BF1259" i="6" s="1"/>
  <c r="BE1260" i="6"/>
  <c r="BE1261" i="6" l="1"/>
  <c r="BG1260" i="6"/>
  <c r="BF1260" i="6" s="1"/>
  <c r="BG1261" i="6" l="1"/>
  <c r="BF1261" i="6" s="1"/>
  <c r="BE1262" i="6"/>
  <c r="BE1263" i="6" l="1"/>
  <c r="BG1262" i="6"/>
  <c r="BF1262" i="6" s="1"/>
  <c r="BG1263" i="6" l="1"/>
  <c r="BF1263" i="6" s="1"/>
  <c r="BE1264" i="6"/>
  <c r="BE1265" i="6" l="1"/>
  <c r="BG1264" i="6"/>
  <c r="BF1264" i="6" s="1"/>
  <c r="BD1529" i="6" s="1"/>
  <c r="BE1529" i="6" s="1"/>
  <c r="BE1266" i="6" l="1"/>
  <c r="BG1265" i="6"/>
  <c r="BF1265" i="6" s="1"/>
  <c r="BG1266" i="6" l="1"/>
  <c r="BF1266" i="6" s="1"/>
  <c r="BE1267" i="6"/>
  <c r="BE1268" i="6" l="1"/>
  <c r="BG1267" i="6"/>
  <c r="BF1267" i="6" s="1"/>
  <c r="BE1269" i="6" l="1"/>
  <c r="BG1268" i="6"/>
  <c r="BF1268" i="6" s="1"/>
  <c r="BE1270" i="6" l="1"/>
  <c r="BG1269" i="6"/>
  <c r="BF1269" i="6" s="1"/>
  <c r="BE1271" i="6" l="1"/>
  <c r="BG1270" i="6"/>
  <c r="BF1270" i="6" s="1"/>
  <c r="BE1272" i="6" l="1"/>
  <c r="BG1271" i="6"/>
  <c r="BF1271" i="6" s="1"/>
  <c r="BE1273" i="6" l="1"/>
  <c r="BG1272" i="6"/>
  <c r="BF1272" i="6" s="1"/>
  <c r="BE1274" i="6" l="1"/>
  <c r="BG1273" i="6"/>
  <c r="BF1273" i="6" s="1"/>
  <c r="BE1275" i="6" l="1"/>
  <c r="BG1274" i="6"/>
  <c r="BF1274" i="6" s="1"/>
  <c r="BE1276" i="6" l="1"/>
  <c r="BG1275" i="6"/>
  <c r="BF1275" i="6" s="1"/>
  <c r="BE1277" i="6" l="1"/>
  <c r="BG1276" i="6"/>
  <c r="BF1276" i="6" s="1"/>
  <c r="BG1277" i="6" l="1"/>
  <c r="BF1277" i="6" s="1"/>
  <c r="BE1278" i="6"/>
  <c r="BE1279" i="6" l="1"/>
  <c r="BG1278" i="6"/>
  <c r="BF1278" i="6" s="1"/>
  <c r="BE1280" i="6" l="1"/>
  <c r="BG1279" i="6"/>
  <c r="BF1279" i="6" s="1"/>
  <c r="BD1530" i="6" s="1"/>
  <c r="BE1530" i="6" s="1"/>
  <c r="BE1281" i="6" l="1"/>
  <c r="BG1280" i="6"/>
  <c r="BF1280" i="6" s="1"/>
  <c r="BG1281" i="6" l="1"/>
  <c r="BF1281" i="6" s="1"/>
  <c r="BE1282" i="6"/>
  <c r="BE1283" i="6" l="1"/>
  <c r="BG1282" i="6"/>
  <c r="BF1282" i="6" s="1"/>
  <c r="BE1284" i="6" l="1"/>
  <c r="BG1283" i="6"/>
  <c r="BF1283" i="6" s="1"/>
  <c r="BG1284" i="6" l="1"/>
  <c r="BF1284" i="6" s="1"/>
  <c r="BE1285" i="6"/>
  <c r="BE1286" i="6" l="1"/>
  <c r="BG1285" i="6"/>
  <c r="BF1285" i="6" s="1"/>
  <c r="BG1286" i="6" l="1"/>
  <c r="BF1286" i="6" s="1"/>
  <c r="BE1287" i="6"/>
  <c r="BE1288" i="6" l="1"/>
  <c r="BG1287" i="6"/>
  <c r="BF1287" i="6" s="1"/>
  <c r="BE1289" i="6" l="1"/>
  <c r="BG1288" i="6"/>
  <c r="BF1288" i="6" s="1"/>
  <c r="BE1290" i="6" l="1"/>
  <c r="BG1289" i="6"/>
  <c r="BF1289" i="6" s="1"/>
  <c r="BE1291" i="6" l="1"/>
  <c r="BG1290" i="6"/>
  <c r="BF1290" i="6" s="1"/>
  <c r="BG1291" i="6" l="1"/>
  <c r="BF1291" i="6" s="1"/>
  <c r="BE1292" i="6"/>
  <c r="BE1293" i="6" l="1"/>
  <c r="BG1292" i="6"/>
  <c r="BF1292" i="6" s="1"/>
  <c r="BE1294" i="6" l="1"/>
  <c r="BG1293" i="6"/>
  <c r="BF1293" i="6" s="1"/>
  <c r="BE1295" i="6" l="1"/>
  <c r="BG1294" i="6"/>
  <c r="BF1294" i="6" s="1"/>
  <c r="BD1531" i="6" s="1"/>
  <c r="BE1531" i="6" s="1"/>
  <c r="BG1295" i="6" l="1"/>
  <c r="BF1295" i="6" s="1"/>
  <c r="BE1296" i="6"/>
  <c r="BE1297" i="6" l="1"/>
  <c r="BG1296" i="6"/>
  <c r="BF1296" i="6" s="1"/>
  <c r="BG1297" i="6" l="1"/>
  <c r="BF1297" i="6" s="1"/>
  <c r="BE1298" i="6"/>
  <c r="BE1299" i="6" l="1"/>
  <c r="BG1298" i="6"/>
  <c r="BF1298" i="6" s="1"/>
  <c r="BE1300" i="6" l="1"/>
  <c r="BG1299" i="6"/>
  <c r="BF1299" i="6" s="1"/>
  <c r="BE1301" i="6" l="1"/>
  <c r="BG1300" i="6"/>
  <c r="BF1300" i="6" s="1"/>
  <c r="BE1302" i="6" l="1"/>
  <c r="BG1301" i="6"/>
  <c r="BF1301" i="6" s="1"/>
  <c r="BE1303" i="6" l="1"/>
  <c r="BG1302" i="6"/>
  <c r="BF1302" i="6" s="1"/>
  <c r="BE1304" i="6" l="1"/>
  <c r="BG1303" i="6"/>
  <c r="BF1303" i="6" s="1"/>
  <c r="BG1304" i="6" l="1"/>
  <c r="BF1304" i="6" s="1"/>
  <c r="BE1305" i="6"/>
  <c r="BE1306" i="6" l="1"/>
  <c r="BG1305" i="6"/>
  <c r="BF1305" i="6" s="1"/>
  <c r="BE1307" i="6" l="1"/>
  <c r="BG1306" i="6"/>
  <c r="BF1306" i="6" s="1"/>
  <c r="BG1307" i="6" l="1"/>
  <c r="BF1307" i="6" s="1"/>
  <c r="BE1308" i="6"/>
  <c r="BE1309" i="6" l="1"/>
  <c r="BG1308" i="6"/>
  <c r="BF1308" i="6" s="1"/>
  <c r="BE1310" i="6" l="1"/>
  <c r="BG1309" i="6"/>
  <c r="BF1309" i="6" s="1"/>
  <c r="BD1532" i="6" s="1"/>
  <c r="BE1532" i="6" s="1"/>
  <c r="BE1311" i="6" l="1"/>
  <c r="BG1310" i="6"/>
  <c r="BF1310" i="6" s="1"/>
  <c r="BE1312" i="6" l="1"/>
  <c r="BG1311" i="6"/>
  <c r="BF1311" i="6" s="1"/>
  <c r="BE1313" i="6" l="1"/>
  <c r="BG1312" i="6"/>
  <c r="BF1312" i="6" s="1"/>
  <c r="BE1314" i="6" l="1"/>
  <c r="BG1313" i="6"/>
  <c r="BF1313" i="6" s="1"/>
  <c r="BG1314" i="6" l="1"/>
  <c r="BF1314" i="6" s="1"/>
  <c r="BE1315" i="6"/>
  <c r="BE1316" i="6" l="1"/>
  <c r="BG1315" i="6"/>
  <c r="BF1315" i="6" s="1"/>
  <c r="BG1316" i="6" l="1"/>
  <c r="BF1316" i="6" s="1"/>
  <c r="BE1317" i="6"/>
  <c r="BE1318" i="6" l="1"/>
  <c r="BG1317" i="6"/>
  <c r="BF1317" i="6" s="1"/>
  <c r="BG1318" i="6" l="1"/>
  <c r="BF1318" i="6" s="1"/>
  <c r="BE1319" i="6"/>
  <c r="BE1320" i="6" l="1"/>
  <c r="BG1319" i="6"/>
  <c r="BF1319" i="6" s="1"/>
  <c r="BG1320" i="6" l="1"/>
  <c r="BF1320" i="6" s="1"/>
  <c r="BE1321" i="6"/>
  <c r="BE1322" i="6" l="1"/>
  <c r="BG1321" i="6"/>
  <c r="BF1321" i="6" s="1"/>
  <c r="BE1323" i="6" l="1"/>
  <c r="BG1322" i="6"/>
  <c r="BF1322" i="6" s="1"/>
  <c r="BG1323" i="6" l="1"/>
  <c r="BF1323" i="6" s="1"/>
  <c r="BE1324" i="6"/>
  <c r="BE1325" i="6" l="1"/>
  <c r="BG1324" i="6"/>
  <c r="BF1324" i="6" s="1"/>
  <c r="BD1533" i="6" s="1"/>
  <c r="BE1533" i="6" s="1"/>
  <c r="BE1326" i="6" l="1"/>
  <c r="BG1325" i="6"/>
  <c r="BF1325" i="6" s="1"/>
  <c r="BE1327" i="6" l="1"/>
  <c r="BG1326" i="6"/>
  <c r="BF1326" i="6" s="1"/>
  <c r="BG1327" i="6" l="1"/>
  <c r="BF1327" i="6" s="1"/>
  <c r="BE1328" i="6"/>
  <c r="BE1329" i="6" l="1"/>
  <c r="BG1328" i="6"/>
  <c r="BF1328" i="6" s="1"/>
  <c r="BE1330" i="6" l="1"/>
  <c r="BG1329" i="6"/>
  <c r="BF1329" i="6" s="1"/>
  <c r="BG1330" i="6" l="1"/>
  <c r="BF1330" i="6" s="1"/>
  <c r="BE1331" i="6"/>
  <c r="BE1332" i="6" l="1"/>
  <c r="BG1331" i="6"/>
  <c r="BF1331" i="6" s="1"/>
  <c r="BE1333" i="6" l="1"/>
  <c r="BG1332" i="6"/>
  <c r="BF1332" i="6" s="1"/>
  <c r="BE1334" i="6" l="1"/>
  <c r="BG1333" i="6"/>
  <c r="BF1333" i="6" s="1"/>
  <c r="BG1334" i="6" l="1"/>
  <c r="BF1334" i="6" s="1"/>
  <c r="BE1335" i="6"/>
  <c r="BG1335" i="6" l="1"/>
  <c r="BF1335" i="6" s="1"/>
  <c r="BE1336" i="6"/>
  <c r="BE1337" i="6" l="1"/>
  <c r="BG1336" i="6"/>
  <c r="BF1336" i="6" s="1"/>
  <c r="BE1338" i="6" l="1"/>
  <c r="BG1337" i="6"/>
  <c r="BF1337" i="6" s="1"/>
  <c r="BE1339" i="6" l="1"/>
  <c r="BG1338" i="6"/>
  <c r="BF1338" i="6" s="1"/>
  <c r="BG1339" i="6" l="1"/>
  <c r="BF1339" i="6" s="1"/>
  <c r="BD1534" i="6" s="1"/>
  <c r="BE1534" i="6" s="1"/>
  <c r="BE1340" i="6"/>
  <c r="BE1341" i="6" l="1"/>
  <c r="BG1340" i="6"/>
  <c r="BF1340" i="6" s="1"/>
  <c r="BE1342" i="6" l="1"/>
  <c r="BG1341" i="6"/>
  <c r="BF1341" i="6" s="1"/>
  <c r="BE1343" i="6" l="1"/>
  <c r="BG1342" i="6"/>
  <c r="BF1342" i="6" s="1"/>
  <c r="BG1343" i="6" l="1"/>
  <c r="BF1343" i="6" s="1"/>
  <c r="BE1344" i="6"/>
  <c r="BE1345" i="6" l="1"/>
  <c r="BG1344" i="6"/>
  <c r="BF1344" i="6" s="1"/>
  <c r="BE1346" i="6" l="1"/>
  <c r="BG1345" i="6"/>
  <c r="BF1345" i="6" s="1"/>
  <c r="BE1347" i="6" l="1"/>
  <c r="BG1346" i="6"/>
  <c r="BF1346" i="6" s="1"/>
  <c r="BG1347" i="6" l="1"/>
  <c r="BF1347" i="6" s="1"/>
  <c r="BE1348" i="6"/>
  <c r="BE1349" i="6" l="1"/>
  <c r="BG1348" i="6"/>
  <c r="BF1348" i="6" s="1"/>
  <c r="BE1350" i="6" l="1"/>
  <c r="BG1349" i="6"/>
  <c r="BF1349" i="6" s="1"/>
  <c r="BE1351" i="6" l="1"/>
  <c r="BG1350" i="6"/>
  <c r="BF1350" i="6" s="1"/>
  <c r="BG1351" i="6" l="1"/>
  <c r="BF1351" i="6" s="1"/>
  <c r="BE1352" i="6"/>
  <c r="BE1353" i="6" l="1"/>
  <c r="BG1352" i="6"/>
  <c r="BF1352" i="6" s="1"/>
  <c r="BE1354" i="6" l="1"/>
  <c r="BG1353" i="6"/>
  <c r="BF1353" i="6" s="1"/>
  <c r="BE1355" i="6" l="1"/>
  <c r="BG1354" i="6"/>
  <c r="BF1354" i="6" s="1"/>
  <c r="BD1535" i="6" s="1"/>
  <c r="BE1535" i="6" s="1"/>
  <c r="BG1355" i="6" l="1"/>
  <c r="BF1355" i="6" s="1"/>
  <c r="BE1356" i="6"/>
  <c r="BG1356" i="6" l="1"/>
  <c r="BF1356" i="6" s="1"/>
  <c r="BE1357" i="6"/>
  <c r="BE1358" i="6" l="1"/>
  <c r="BG1357" i="6"/>
  <c r="BF1357" i="6" s="1"/>
  <c r="BE1359" i="6" l="1"/>
  <c r="BG1358" i="6"/>
  <c r="BF1358" i="6" s="1"/>
  <c r="BE1360" i="6" l="1"/>
  <c r="BG1359" i="6"/>
  <c r="BF1359" i="6" s="1"/>
  <c r="BE1361" i="6" l="1"/>
  <c r="BG1360" i="6"/>
  <c r="BF1360" i="6" s="1"/>
  <c r="BE1362" i="6" l="1"/>
  <c r="BG1361" i="6"/>
  <c r="BF1361" i="6" s="1"/>
  <c r="BG1362" i="6" l="1"/>
  <c r="BF1362" i="6" s="1"/>
  <c r="BE1363" i="6"/>
  <c r="BE1364" i="6" l="1"/>
  <c r="BG1363" i="6"/>
  <c r="BF1363" i="6" s="1"/>
  <c r="BG1364" i="6" l="1"/>
  <c r="BF1364" i="6" s="1"/>
  <c r="BE1365" i="6"/>
  <c r="BG1365" i="6" l="1"/>
  <c r="BF1365" i="6" s="1"/>
  <c r="BE1366" i="6"/>
  <c r="BE1367" i="6" l="1"/>
  <c r="BG1366" i="6"/>
  <c r="BF1366" i="6" s="1"/>
  <c r="BG1367" i="6" l="1"/>
  <c r="BF1367" i="6" s="1"/>
  <c r="BE1368" i="6"/>
  <c r="BE1369" i="6" l="1"/>
  <c r="BG1368" i="6"/>
  <c r="BF1368" i="6" s="1"/>
  <c r="BE1370" i="6" l="1"/>
  <c r="BG1369" i="6"/>
  <c r="BF1369" i="6" s="1"/>
  <c r="BD1536" i="6" s="1"/>
  <c r="BE1536" i="6" s="1"/>
  <c r="BG1370" i="6" l="1"/>
  <c r="BF1370" i="6" s="1"/>
  <c r="BE1371" i="6"/>
  <c r="BG1371" i="6" l="1"/>
  <c r="BF1371" i="6" s="1"/>
  <c r="BE1372" i="6"/>
  <c r="BE1373" i="6" l="1"/>
  <c r="BG1372" i="6"/>
  <c r="BF1372" i="6" s="1"/>
  <c r="BE1374" i="6" l="1"/>
  <c r="BG1373" i="6"/>
  <c r="BF1373" i="6" s="1"/>
  <c r="BG1374" i="6" l="1"/>
  <c r="BF1374" i="6" s="1"/>
  <c r="BE1375" i="6"/>
  <c r="BE1376" i="6" l="1"/>
  <c r="BG1375" i="6"/>
  <c r="BF1375" i="6" s="1"/>
  <c r="BE1377" i="6" l="1"/>
  <c r="BG1376" i="6"/>
  <c r="BF1376" i="6" s="1"/>
  <c r="BE1378" i="6" l="1"/>
  <c r="BG1377" i="6"/>
  <c r="BF1377" i="6" s="1"/>
  <c r="BE1379" i="6" l="1"/>
  <c r="BG1378" i="6"/>
  <c r="BF1378" i="6" s="1"/>
  <c r="BG1379" i="6" l="1"/>
  <c r="BF1379" i="6" s="1"/>
  <c r="BE1380" i="6"/>
  <c r="BE1381" i="6" l="1"/>
  <c r="BG1380" i="6"/>
  <c r="BF1380" i="6" s="1"/>
  <c r="BE1382" i="6" l="1"/>
  <c r="BG1381" i="6"/>
  <c r="BF1381" i="6" s="1"/>
  <c r="BE1383" i="6" l="1"/>
  <c r="BG1382" i="6"/>
  <c r="BF1382" i="6" s="1"/>
  <c r="BE1384" i="6" l="1"/>
  <c r="BG1383" i="6"/>
  <c r="BF1383" i="6" s="1"/>
  <c r="BE1385" i="6" l="1"/>
  <c r="BG1384" i="6"/>
  <c r="BF1384" i="6" s="1"/>
  <c r="BD1537" i="6" s="1"/>
  <c r="BE1537" i="6" s="1"/>
  <c r="BE1386" i="6" l="1"/>
  <c r="BG1385" i="6"/>
  <c r="BF1385" i="6" s="1"/>
  <c r="BE1387" i="6" l="1"/>
  <c r="BG1386" i="6"/>
  <c r="BF1386" i="6" s="1"/>
  <c r="BE1388" i="6" l="1"/>
  <c r="BG1387" i="6"/>
  <c r="BF1387" i="6" s="1"/>
  <c r="BE1389" i="6" l="1"/>
  <c r="BG1388" i="6"/>
  <c r="BF1388" i="6" s="1"/>
  <c r="BE1390" i="6" l="1"/>
  <c r="BG1389" i="6"/>
  <c r="BF1389" i="6" s="1"/>
  <c r="BE1391" i="6" l="1"/>
  <c r="BG1390" i="6"/>
  <c r="BF1390" i="6" s="1"/>
  <c r="BE1392" i="6" l="1"/>
  <c r="BG1391" i="6"/>
  <c r="BF1391" i="6" s="1"/>
  <c r="BE1393" i="6" l="1"/>
  <c r="BG1392" i="6"/>
  <c r="BF1392" i="6" s="1"/>
  <c r="BE1394" i="6" l="1"/>
  <c r="BG1393" i="6"/>
  <c r="BF1393" i="6" s="1"/>
  <c r="BE1395" i="6" l="1"/>
  <c r="BG1394" i="6"/>
  <c r="BF1394" i="6" s="1"/>
  <c r="BE1396" i="6" l="1"/>
  <c r="BG1395" i="6"/>
  <c r="BF1395" i="6" s="1"/>
  <c r="BE1397" i="6" l="1"/>
  <c r="BG1396" i="6"/>
  <c r="BF1396" i="6" s="1"/>
  <c r="BE1398" i="6" l="1"/>
  <c r="BG1397" i="6"/>
  <c r="BF1397" i="6" s="1"/>
  <c r="BE1399" i="6" l="1"/>
  <c r="BG1398" i="6"/>
  <c r="BF1398" i="6" s="1"/>
  <c r="BE1400" i="6" l="1"/>
  <c r="BG1399" i="6"/>
  <c r="BF1399" i="6" s="1"/>
  <c r="BD1538" i="6" s="1"/>
  <c r="BE1538" i="6" s="1"/>
  <c r="BE1401" i="6" l="1"/>
  <c r="BG1400" i="6"/>
  <c r="BF1400" i="6" s="1"/>
  <c r="BG1401" i="6" l="1"/>
  <c r="BF1401" i="6" s="1"/>
  <c r="BE1402" i="6"/>
  <c r="BE1403" i="6" l="1"/>
  <c r="BG1402" i="6"/>
  <c r="BF1402" i="6" s="1"/>
  <c r="BE1404" i="6" l="1"/>
  <c r="BG1403" i="6"/>
  <c r="BF1403" i="6" s="1"/>
  <c r="BE1405" i="6" l="1"/>
  <c r="BG1404" i="6"/>
  <c r="BF1404" i="6" s="1"/>
  <c r="BE1406" i="6" l="1"/>
  <c r="BG1405" i="6"/>
  <c r="BF1405" i="6" s="1"/>
  <c r="BE1407" i="6" l="1"/>
  <c r="BG1406" i="6"/>
  <c r="BF1406" i="6" s="1"/>
  <c r="BE1408" i="6" l="1"/>
  <c r="BG1407" i="6"/>
  <c r="BF1407" i="6" s="1"/>
  <c r="BE1409" i="6" l="1"/>
  <c r="BG1408" i="6"/>
  <c r="BF1408" i="6" s="1"/>
  <c r="BE1410" i="6" l="1"/>
  <c r="BG1409" i="6"/>
  <c r="BF1409" i="6" s="1"/>
  <c r="BE1411" i="6" l="1"/>
  <c r="BG1410" i="6"/>
  <c r="BF1410" i="6" s="1"/>
  <c r="BG1411" i="6" l="1"/>
  <c r="BF1411" i="6" s="1"/>
  <c r="BE1412" i="6"/>
  <c r="BE1413" i="6" l="1"/>
  <c r="BG1412" i="6"/>
  <c r="BF1412" i="6" s="1"/>
  <c r="BE1414" i="6" l="1"/>
  <c r="BG1413" i="6"/>
  <c r="BF1413" i="6" s="1"/>
  <c r="BE1415" i="6" l="1"/>
  <c r="BG1414" i="6"/>
  <c r="BF1414" i="6" s="1"/>
  <c r="BD1539" i="6" s="1"/>
  <c r="BE1539" i="6" s="1"/>
  <c r="BG1415" i="6" l="1"/>
  <c r="BF1415" i="6" s="1"/>
  <c r="BE1416" i="6"/>
  <c r="BG1416" i="6" l="1"/>
  <c r="BF1416" i="6" s="1"/>
  <c r="BE1417" i="6"/>
  <c r="BE1418" i="6" l="1"/>
  <c r="BG1417" i="6"/>
  <c r="BF1417" i="6" s="1"/>
  <c r="BE1419" i="6" l="1"/>
  <c r="BG1418" i="6"/>
  <c r="BF1418" i="6" s="1"/>
  <c r="BE1420" i="6" l="1"/>
  <c r="BG1419" i="6"/>
  <c r="BF1419" i="6" s="1"/>
  <c r="BE1421" i="6" l="1"/>
  <c r="BG1420" i="6"/>
  <c r="BF1420" i="6" s="1"/>
  <c r="BE1422" i="6" l="1"/>
  <c r="BG1421" i="6"/>
  <c r="BF1421" i="6" s="1"/>
  <c r="BE1423" i="6" l="1"/>
  <c r="BG1422" i="6"/>
  <c r="BF1422" i="6" s="1"/>
  <c r="BE1424" i="6" l="1"/>
  <c r="BG1423" i="6"/>
  <c r="BF1423" i="6" s="1"/>
  <c r="BG1424" i="6" l="1"/>
  <c r="BF1424" i="6" s="1"/>
  <c r="BE1425" i="6"/>
  <c r="BE1426" i="6" l="1"/>
  <c r="BG1425" i="6"/>
  <c r="BF1425" i="6" s="1"/>
  <c r="BE1427" i="6" l="1"/>
  <c r="BG1426" i="6"/>
  <c r="BF1426" i="6" s="1"/>
  <c r="BE1428" i="6" l="1"/>
  <c r="BG1427" i="6"/>
  <c r="BF1427" i="6" s="1"/>
  <c r="BE1429" i="6" l="1"/>
  <c r="BG1428" i="6"/>
  <c r="BF1428" i="6" s="1"/>
  <c r="BE1430" i="6" l="1"/>
  <c r="BG1429" i="6"/>
  <c r="BF1429" i="6" s="1"/>
  <c r="BD1540" i="6" s="1"/>
  <c r="BE1540" i="6" s="1"/>
  <c r="BG1430" i="6" l="1"/>
  <c r="BF1430" i="6" s="1"/>
  <c r="BE1431" i="6"/>
  <c r="BG1431" i="6" l="1"/>
  <c r="BF1431" i="6" s="1"/>
  <c r="BE1432" i="6"/>
  <c r="BE1433" i="6" l="1"/>
  <c r="BG1432" i="6"/>
  <c r="BF1432" i="6" s="1"/>
  <c r="BG1433" i="6" l="1"/>
  <c r="BF1433" i="6" s="1"/>
  <c r="BE1434" i="6"/>
  <c r="BG1434" i="6" l="1"/>
  <c r="BF1434" i="6" s="1"/>
  <c r="BE1435" i="6"/>
  <c r="BE1436" i="6" l="1"/>
  <c r="BG1435" i="6"/>
  <c r="BF1435" i="6" s="1"/>
  <c r="BE1437" i="6" l="1"/>
  <c r="BG1436" i="6"/>
  <c r="BF1436" i="6" s="1"/>
  <c r="BE1438" i="6" l="1"/>
  <c r="BG1437" i="6"/>
  <c r="BF1437" i="6" s="1"/>
  <c r="BE1439" i="6" l="1"/>
  <c r="BG1438" i="6"/>
  <c r="BF1438" i="6" s="1"/>
  <c r="BE1440" i="6" l="1"/>
  <c r="BG1439" i="6"/>
  <c r="BF1439" i="6" s="1"/>
  <c r="BE1441" i="6" l="1"/>
  <c r="BG1440" i="6"/>
  <c r="BF1440" i="6" s="1"/>
  <c r="BE1442" i="6" l="1"/>
  <c r="BG1441" i="6"/>
  <c r="BF1441" i="6" s="1"/>
  <c r="BE1443" i="6" l="1"/>
  <c r="BG1443" i="6" s="1"/>
  <c r="BF1443" i="6" s="1"/>
  <c r="BG1442" i="6"/>
  <c r="BF1442" i="6" s="1"/>
</calcChain>
</file>

<file path=xl/sharedStrings.xml><?xml version="1.0" encoding="utf-8"?>
<sst xmlns="http://schemas.openxmlformats.org/spreadsheetml/2006/main" count="114" uniqueCount="98">
  <si>
    <t>Notes</t>
  </si>
  <si>
    <t>This report is for :</t>
  </si>
  <si>
    <t>Notes :</t>
  </si>
  <si>
    <t>Sedentary to light cut-off :</t>
  </si>
  <si>
    <t>Light to moderate cut-off :</t>
  </si>
  <si>
    <t>Activity Baselines</t>
  </si>
  <si>
    <t>Sleep Baselines</t>
  </si>
  <si>
    <t>Created for :</t>
  </si>
  <si>
    <t>Date created :</t>
  </si>
  <si>
    <t>Data file :</t>
  </si>
  <si>
    <t>Subject code :</t>
  </si>
  <si>
    <t>Date of birth :</t>
  </si>
  <si>
    <t>Sex :</t>
  </si>
  <si>
    <t>BMI :</t>
  </si>
  <si>
    <t>Handedness :</t>
  </si>
  <si>
    <t>Device location :</t>
  </si>
  <si>
    <t>Start time :</t>
  </si>
  <si>
    <t>End time :</t>
  </si>
  <si>
    <t>Study centre :</t>
  </si>
  <si>
    <t>Study code :</t>
  </si>
  <si>
    <t>Exercise type :</t>
  </si>
  <si>
    <t>Sleep sensitivity :</t>
  </si>
  <si>
    <t>Baselines</t>
  </si>
  <si>
    <t>Trial Information</t>
  </si>
  <si>
    <t>Subject Information</t>
  </si>
  <si>
    <t>Report</t>
  </si>
  <si>
    <t>Time</t>
  </si>
  <si>
    <t>x axis mean</t>
  </si>
  <si>
    <t>y axis mean</t>
  </si>
  <si>
    <t>z axis mean</t>
  </si>
  <si>
    <t>Lux</t>
  </si>
  <si>
    <t>Button</t>
  </si>
  <si>
    <t>Temp</t>
  </si>
  <si>
    <t>SVMgs</t>
  </si>
  <si>
    <t>Activity Level</t>
  </si>
  <si>
    <t>Moderate to vigorous cut-off :</t>
  </si>
  <si>
    <t>Current Movement</t>
  </si>
  <si>
    <t>Sleep</t>
  </si>
  <si>
    <t>Elapsed time (days) :</t>
  </si>
  <si>
    <t>Original sample frequency (Hz) :</t>
  </si>
  <si>
    <t>Total wear time (days) :</t>
  </si>
  <si>
    <t>Date</t>
  </si>
  <si>
    <t>Mean Light level</t>
  </si>
  <si>
    <t>Mean activity</t>
  </si>
  <si>
    <t>Light</t>
  </si>
  <si>
    <t>Activity summary (hours)</t>
  </si>
  <si>
    <t>Moderate cut off</t>
  </si>
  <si>
    <t>Sedentary cut off</t>
  </si>
  <si>
    <t>Vigorous cut off</t>
  </si>
  <si>
    <t>Days</t>
  </si>
  <si>
    <r>
      <t xml:space="preserve">Mean Light  </t>
    </r>
    <r>
      <rPr>
        <b/>
        <sz val="8"/>
        <rFont val="Arial"/>
        <family val="2"/>
      </rPr>
      <t>(normalised)</t>
    </r>
  </si>
  <si>
    <r>
      <t xml:space="preserve">Mean activity </t>
    </r>
    <r>
      <rPr>
        <b/>
        <sz val="8"/>
        <rFont val="Arial"/>
        <family val="2"/>
      </rPr>
      <t>(normalised)</t>
    </r>
  </si>
  <si>
    <t>Report Details</t>
  </si>
  <si>
    <t>Sedentary</t>
  </si>
  <si>
    <t>Moderate</t>
  </si>
  <si>
    <t>Vigorous</t>
  </si>
  <si>
    <t>Day</t>
  </si>
  <si>
    <t>Weekday</t>
  </si>
  <si>
    <t>Day Name</t>
  </si>
  <si>
    <t>Offset</t>
  </si>
  <si>
    <t>Night name</t>
  </si>
  <si>
    <t>X axis stdev</t>
  </si>
  <si>
    <t>Y axis stdev</t>
  </si>
  <si>
    <t>Z axis stdev</t>
  </si>
  <si>
    <t>calc</t>
  </si>
  <si>
    <t>BED</t>
  </si>
  <si>
    <t>NO WEAR</t>
  </si>
  <si>
    <t>SLEEP</t>
  </si>
  <si>
    <t>Weight (kg) :</t>
  </si>
  <si>
    <t>1hr Average</t>
  </si>
  <si>
    <t>Min. of 1hr Average</t>
  </si>
  <si>
    <t>rows</t>
  </si>
  <si>
    <t>Noon row</t>
  </si>
  <si>
    <t>State</t>
  </si>
  <si>
    <t>4am row in col AK</t>
  </si>
  <si>
    <t>Sleep quality:</t>
  </si>
  <si>
    <t>Non-wear:</t>
  </si>
  <si>
    <t>Sleep:</t>
  </si>
  <si>
    <t>Sedentary / light:</t>
  </si>
  <si>
    <t>Moderate / Vigorous:</t>
  </si>
  <si>
    <t>X1</t>
  </si>
  <si>
    <t>Y1</t>
  </si>
  <si>
    <t>Ave level</t>
  </si>
  <si>
    <t>Modified ave state</t>
  </si>
  <si>
    <t>Average</t>
  </si>
  <si>
    <t>Rise time:*</t>
  </si>
  <si>
    <t>Bed time:*</t>
  </si>
  <si>
    <r>
      <rPr>
        <sz val="8"/>
        <rFont val="Arial"/>
        <family val="2"/>
      </rPr>
      <t>*</t>
    </r>
    <r>
      <rPr>
        <i/>
        <sz val="8"/>
        <rFont val="Arial"/>
        <family val="2"/>
      </rPr>
      <t>Accurate to within 15 mins</t>
    </r>
  </si>
  <si>
    <t>Ymean</t>
  </si>
  <si>
    <t>Period start time</t>
  </si>
  <si>
    <t>Activity (blanking no-wear period)</t>
  </si>
  <si>
    <t>Activity Level (numeric)</t>
  </si>
  <si>
    <t>Ave Activity</t>
  </si>
  <si>
    <t>Median state over 15 min intervals</t>
  </si>
  <si>
    <t>Median state (1 min)</t>
  </si>
  <si>
    <t>min ave current movement</t>
  </si>
  <si>
    <t>Height (m):</t>
  </si>
  <si>
    <t>Awake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</si>
</sst>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[$-F800]dddd\,\ mmmm\ dd\,\ yyyy"/>
    <numFmt numFmtId="165" formatCode="0.000"/>
    <numFmt numFmtId="166" formatCode="0.0"/>
    <numFmt numFmtId="167" formatCode="[$-F400]h:mm:ss\ AM/PM"/>
    <numFmt numFmtId="168" formatCode="dd/mm/yy\ hh:mm"/>
    <numFmt numFmtId="169" formatCode="0.0\ &quot;hrs&quot;"/>
    <numFmt numFmtId="170" formatCode="0.0%"/>
    <numFmt numFmtId="171" formatCode="0\ &quot;mins&quot;"/>
    <numFmt numFmtId="172" formatCode="&quot;Res = &quot;\ 0"/>
    <numFmt numFmtId="173" formatCode="0&quot; mins&quot;"/>
  </numFmts>
  <fonts count="2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name val="Verdana"/>
      <family val="2"/>
    </font>
    <font>
      <u/>
      <sz val="11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b/>
      <sz val="9"/>
      <name val="Arial"/>
      <family val="2"/>
    </font>
    <font>
      <sz val="8"/>
      <name val="Verdana"/>
      <family val="2"/>
    </font>
    <font>
      <b/>
      <sz val="11"/>
      <color indexed="8"/>
      <name val="Calibri"/>
      <family val="2"/>
    </font>
    <font>
      <sz val="10"/>
      <color indexed="56"/>
      <name val="Verdana"/>
      <family val="2"/>
    </font>
    <font>
      <sz val="4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sz val="10"/>
      <color theme="4"/>
      <name val="Arial"/>
      <family val="2"/>
    </font>
    <font>
      <sz val="10"/>
      <color theme="1"/>
      <name val="Arial"/>
      <family val="2"/>
    </font>
    <font>
      <sz val="4"/>
      <color theme="0"/>
      <name val="Arial"/>
      <family val="2"/>
    </font>
    <font>
      <sz val="10"/>
      <color theme="1" tint="0.499984740745262"/>
      <name val="Verdana"/>
      <family val="2"/>
    </font>
    <font>
      <sz val="10"/>
      <color rgb="FF000000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ashed">
        <color indexed="23"/>
      </bottom>
      <diagonal/>
    </border>
    <border>
      <left/>
      <right/>
      <top style="dashed">
        <color indexed="23"/>
      </top>
      <bottom style="dashed">
        <color indexed="23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23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right" indent="1"/>
    </xf>
    <xf numFmtId="0" fontId="0" fillId="0" borderId="0" xfId="0" applyAlignment="1">
      <alignment horizontal="left" indent="1"/>
    </xf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center" vertical="top" wrapText="1"/>
    </xf>
    <xf numFmtId="165" fontId="3" fillId="0" borderId="0" xfId="0" applyNumberFormat="1" applyFont="1" applyAlignment="1">
      <alignment horizontal="center" vertical="top" wrapText="1"/>
    </xf>
    <xf numFmtId="1" fontId="3" fillId="0" borderId="0" xfId="0" applyNumberFormat="1" applyFont="1" applyAlignment="1">
      <alignment horizontal="center" vertical="top" wrapText="1"/>
    </xf>
    <xf numFmtId="166" fontId="3" fillId="0" borderId="0" xfId="0" applyNumberFormat="1" applyFont="1" applyAlignment="1">
      <alignment horizontal="center" vertical="top" wrapText="1"/>
    </xf>
    <xf numFmtId="0" fontId="3" fillId="0" borderId="0" xfId="0" applyFont="1" applyFill="1" applyAlignment="1">
      <alignment horizontal="center" vertical="top" wrapText="1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Alignment="1">
      <alignment horizontal="center" vertical="top" wrapText="1"/>
    </xf>
    <xf numFmtId="2" fontId="0" fillId="0" borderId="0" xfId="0" applyNumberFormat="1"/>
    <xf numFmtId="164" fontId="0" fillId="0" borderId="0" xfId="0" applyNumberFormat="1"/>
    <xf numFmtId="167" fontId="0" fillId="0" borderId="0" xfId="0" applyNumberFormat="1"/>
    <xf numFmtId="20" fontId="3" fillId="0" borderId="0" xfId="0" applyNumberFormat="1" applyFont="1" applyAlignment="1">
      <alignment horizontal="center" vertical="top" wrapText="1"/>
    </xf>
    <xf numFmtId="20" fontId="0" fillId="0" borderId="0" xfId="0" applyNumberFormat="1"/>
    <xf numFmtId="0" fontId="3" fillId="0" borderId="0" xfId="0" applyFont="1"/>
    <xf numFmtId="0" fontId="4" fillId="0" borderId="0" xfId="0" applyFont="1"/>
    <xf numFmtId="169" fontId="4" fillId="0" borderId="0" xfId="0" applyNumberFormat="1" applyFont="1"/>
    <xf numFmtId="2" fontId="0" fillId="0" borderId="0" xfId="0" applyNumberFormat="1" applyAlignment="1">
      <alignment horizontal="left"/>
    </xf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3" fillId="0" borderId="0" xfId="0" applyNumberFormat="1" applyFont="1" applyAlignment="1">
      <alignment horizontal="right"/>
    </xf>
    <xf numFmtId="0" fontId="14" fillId="0" borderId="0" xfId="0" applyFont="1"/>
    <xf numFmtId="14" fontId="0" fillId="0" borderId="0" xfId="0" applyNumberFormat="1"/>
    <xf numFmtId="0" fontId="6" fillId="0" borderId="0" xfId="0" applyFont="1"/>
    <xf numFmtId="166" fontId="7" fillId="0" borderId="0" xfId="0" applyNumberFormat="1" applyFont="1"/>
    <xf numFmtId="0" fontId="15" fillId="0" borderId="0" xfId="0" applyFont="1"/>
    <xf numFmtId="168" fontId="0" fillId="0" borderId="0" xfId="0" applyNumberFormat="1"/>
    <xf numFmtId="168" fontId="3" fillId="0" borderId="0" xfId="0" applyNumberFormat="1" applyFont="1" applyAlignment="1">
      <alignment horizontal="center" vertical="top" wrapText="1"/>
    </xf>
    <xf numFmtId="20" fontId="6" fillId="0" borderId="0" xfId="0" applyNumberFormat="1" applyFont="1"/>
    <xf numFmtId="170" fontId="6" fillId="0" borderId="0" xfId="2" applyNumberFormat="1" applyFont="1"/>
    <xf numFmtId="169" fontId="6" fillId="0" borderId="0" xfId="0" applyNumberFormat="1" applyFont="1"/>
    <xf numFmtId="171" fontId="6" fillId="0" borderId="0" xfId="0" applyNumberFormat="1" applyFont="1"/>
    <xf numFmtId="3" fontId="6" fillId="0" borderId="0" xfId="0" applyNumberFormat="1" applyFont="1"/>
    <xf numFmtId="0" fontId="6" fillId="0" borderId="0" xfId="0" applyFont="1" applyAlignment="1">
      <alignment horizontal="left" indent="1"/>
    </xf>
    <xf numFmtId="0" fontId="8" fillId="0" borderId="0" xfId="0" applyFont="1" applyAlignment="1">
      <alignment horizontal="right" indent="1"/>
    </xf>
    <xf numFmtId="0" fontId="8" fillId="0" borderId="0" xfId="0" applyFont="1" applyAlignment="1">
      <alignment horizontal="right" vertical="top" indent="1"/>
    </xf>
    <xf numFmtId="0" fontId="9" fillId="0" borderId="0" xfId="0" applyFont="1" applyAlignment="1">
      <alignment horizontal="right" indent="1"/>
    </xf>
    <xf numFmtId="0" fontId="10" fillId="0" borderId="0" xfId="0" applyFont="1" applyAlignment="1">
      <alignment horizontal="left" indent="1"/>
    </xf>
    <xf numFmtId="0" fontId="6" fillId="0" borderId="1" xfId="0" applyFont="1" applyBorder="1" applyAlignment="1">
      <alignment horizontal="left" indent="1"/>
    </xf>
    <xf numFmtId="0" fontId="6" fillId="0" borderId="2" xfId="0" applyFont="1" applyBorder="1" applyAlignment="1">
      <alignment horizontal="left" indent="1"/>
    </xf>
    <xf numFmtId="14" fontId="6" fillId="0" borderId="2" xfId="0" applyNumberFormat="1" applyFont="1" applyBorder="1" applyAlignment="1">
      <alignment horizontal="left" indent="1"/>
    </xf>
    <xf numFmtId="0" fontId="6" fillId="0" borderId="3" xfId="0" applyFont="1" applyBorder="1" applyAlignment="1">
      <alignment horizontal="left" indent="1"/>
    </xf>
    <xf numFmtId="22" fontId="6" fillId="0" borderId="2" xfId="0" applyNumberFormat="1" applyFont="1" applyBorder="1" applyAlignment="1">
      <alignment horizontal="left" indent="1"/>
    </xf>
    <xf numFmtId="1" fontId="6" fillId="0" borderId="2" xfId="0" applyNumberFormat="1" applyFont="1" applyBorder="1" applyAlignment="1">
      <alignment horizontal="left" indent="1"/>
    </xf>
    <xf numFmtId="0" fontId="11" fillId="0" borderId="4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0" fontId="11" fillId="0" borderId="7" xfId="0" applyFont="1" applyBorder="1" applyAlignment="1">
      <alignment horizontal="right" vertical="top"/>
    </xf>
    <xf numFmtId="0" fontId="6" fillId="0" borderId="0" xfId="0" applyFont="1" applyAlignment="1">
      <alignment horizontal="right"/>
    </xf>
    <xf numFmtId="0" fontId="6" fillId="0" borderId="8" xfId="0" applyFont="1" applyBorder="1" applyAlignment="1">
      <alignment horizontal="left"/>
    </xf>
    <xf numFmtId="0" fontId="6" fillId="0" borderId="8" xfId="0" applyFont="1" applyBorder="1" applyAlignment="1">
      <alignment horizontal="left" vertical="top" wrapText="1" indent="1"/>
    </xf>
    <xf numFmtId="1" fontId="6" fillId="0" borderId="8" xfId="0" applyNumberFormat="1" applyFont="1" applyBorder="1" applyAlignment="1">
      <alignment horizontal="left" indent="1"/>
    </xf>
    <xf numFmtId="0" fontId="6" fillId="0" borderId="8" xfId="0" applyFont="1" applyBorder="1" applyAlignment="1">
      <alignment horizontal="left" indent="1"/>
    </xf>
    <xf numFmtId="167" fontId="15" fillId="0" borderId="0" xfId="0" applyNumberFormat="1" applyFont="1"/>
    <xf numFmtId="0" fontId="12" fillId="0" borderId="0" xfId="0" applyFont="1" applyAlignment="1">
      <alignment horizontal="center" vertical="top" wrapText="1"/>
    </xf>
    <xf numFmtId="0" fontId="13" fillId="0" borderId="9" xfId="0" applyFont="1" applyBorder="1" applyAlignment="1">
      <alignment vertical="top"/>
    </xf>
    <xf numFmtId="20" fontId="13" fillId="0" borderId="9" xfId="0" applyNumberFormat="1" applyFont="1" applyBorder="1" applyAlignment="1">
      <alignment horizontal="left" vertical="top"/>
    </xf>
    <xf numFmtId="0" fontId="13" fillId="0" borderId="10" xfId="0" applyFont="1" applyBorder="1" applyAlignment="1">
      <alignment vertical="top"/>
    </xf>
    <xf numFmtId="0" fontId="6" fillId="0" borderId="11" xfId="0" applyFont="1" applyBorder="1" applyAlignment="1">
      <alignment horizontal="left" vertical="top" wrapText="1" indent="1"/>
    </xf>
    <xf numFmtId="166" fontId="6" fillId="0" borderId="2" xfId="0" applyNumberFormat="1" applyFont="1" applyBorder="1" applyAlignment="1">
      <alignment horizontal="left" indent="1"/>
    </xf>
    <xf numFmtId="172" fontId="3" fillId="0" borderId="0" xfId="0" applyNumberFormat="1" applyFont="1" applyAlignment="1">
      <alignment horizontal="left"/>
    </xf>
    <xf numFmtId="1" fontId="1" fillId="0" borderId="0" xfId="0" applyNumberFormat="1" applyFont="1"/>
    <xf numFmtId="20" fontId="3" fillId="0" borderId="0" xfId="0" applyNumberFormat="1" applyFont="1" applyAlignment="1">
      <alignment vertical="top"/>
    </xf>
    <xf numFmtId="0" fontId="1" fillId="0" borderId="0" xfId="0" applyFont="1"/>
    <xf numFmtId="20" fontId="1" fillId="0" borderId="0" xfId="0" applyNumberFormat="1" applyFont="1"/>
    <xf numFmtId="0" fontId="3" fillId="0" borderId="0" xfId="0" applyFont="1" applyAlignment="1">
      <alignment vertical="top"/>
    </xf>
    <xf numFmtId="0" fontId="3" fillId="2" borderId="0" xfId="0" applyFont="1" applyFill="1" applyAlignment="1">
      <alignment vertical="top"/>
    </xf>
    <xf numFmtId="0" fontId="3" fillId="3" borderId="0" xfId="0" applyFont="1" applyFill="1" applyAlignment="1">
      <alignment vertical="top"/>
    </xf>
    <xf numFmtId="0" fontId="3" fillId="4" borderId="0" xfId="0" applyFont="1" applyFill="1" applyAlignment="1">
      <alignment vertical="top"/>
    </xf>
    <xf numFmtId="0" fontId="3" fillId="3" borderId="0" xfId="0" applyFont="1" applyFill="1" applyAlignment="1">
      <alignment horizontal="center" vertical="top" wrapText="1"/>
    </xf>
    <xf numFmtId="20" fontId="3" fillId="0" borderId="0" xfId="0" applyNumberFormat="1" applyFont="1" applyAlignment="1">
      <alignment horizontal="left"/>
    </xf>
    <xf numFmtId="0" fontId="13" fillId="0" borderId="12" xfId="0" applyFont="1" applyBorder="1" applyAlignment="1">
      <alignment vertical="top"/>
    </xf>
    <xf numFmtId="0" fontId="0" fillId="0" borderId="0" xfId="0" applyBorder="1"/>
    <xf numFmtId="0" fontId="6" fillId="5" borderId="13" xfId="0" applyFont="1" applyFill="1" applyBorder="1"/>
    <xf numFmtId="0" fontId="6" fillId="6" borderId="13" xfId="0" applyFont="1" applyFill="1" applyBorder="1"/>
    <xf numFmtId="0" fontId="6" fillId="7" borderId="13" xfId="0" applyFont="1" applyFill="1" applyBorder="1"/>
    <xf numFmtId="0" fontId="6" fillId="8" borderId="13" xfId="0" applyFont="1" applyFill="1" applyBorder="1"/>
    <xf numFmtId="173" fontId="13" fillId="0" borderId="10" xfId="0" applyNumberFormat="1" applyFont="1" applyBorder="1" applyAlignment="1">
      <alignment horizontal="left" vertical="top"/>
    </xf>
    <xf numFmtId="173" fontId="13" fillId="0" borderId="10" xfId="2" applyNumberFormat="1" applyFont="1" applyBorder="1" applyAlignment="1">
      <alignment horizontal="left" vertical="top"/>
    </xf>
    <xf numFmtId="173" fontId="13" fillId="0" borderId="12" xfId="0" applyNumberFormat="1" applyFont="1" applyBorder="1" applyAlignment="1">
      <alignment horizontal="left" vertical="top"/>
    </xf>
    <xf numFmtId="0" fontId="19" fillId="0" borderId="0" xfId="0" applyFont="1"/>
    <xf numFmtId="0" fontId="8" fillId="0" borderId="0" xfId="0" applyFont="1" applyBorder="1"/>
    <xf numFmtId="167" fontId="0" fillId="0" borderId="0" xfId="0" applyNumberFormat="1" applyBorder="1"/>
    <xf numFmtId="1" fontId="20" fillId="0" borderId="0" xfId="0" applyNumberFormat="1" applyFont="1" applyBorder="1"/>
    <xf numFmtId="2" fontId="21" fillId="0" borderId="0" xfId="0" applyNumberFormat="1" applyFont="1" applyBorder="1"/>
    <xf numFmtId="2" fontId="16" fillId="0" borderId="0" xfId="0" applyNumberFormat="1" applyFont="1" applyBorder="1"/>
    <xf numFmtId="164" fontId="0" fillId="0" borderId="0" xfId="0" applyNumberFormat="1" applyBorder="1"/>
    <xf numFmtId="167" fontId="17" fillId="0" borderId="0" xfId="0" applyNumberFormat="1" applyFont="1" applyBorder="1"/>
    <xf numFmtId="164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/>
    </xf>
    <xf numFmtId="1" fontId="20" fillId="0" borderId="0" xfId="0" applyNumberFormat="1" applyFont="1" applyAlignment="1">
      <alignment vertical="top"/>
    </xf>
    <xf numFmtId="2" fontId="21" fillId="0" borderId="0" xfId="0" applyNumberFormat="1" applyFont="1" applyAlignment="1">
      <alignment vertical="top"/>
    </xf>
    <xf numFmtId="2" fontId="16" fillId="0" borderId="0" xfId="0" applyNumberFormat="1" applyFont="1" applyAlignment="1">
      <alignment vertical="top"/>
    </xf>
    <xf numFmtId="0" fontId="22" fillId="9" borderId="13" xfId="0" applyFont="1" applyFill="1" applyBorder="1"/>
    <xf numFmtId="1" fontId="3" fillId="0" borderId="0" xfId="0" applyNumberFormat="1" applyFont="1" applyAlignment="1">
      <alignment horizontal="center" wrapText="1"/>
    </xf>
    <xf numFmtId="9" fontId="13" fillId="0" borderId="9" xfId="2" applyFont="1" applyBorder="1" applyAlignment="1">
      <alignment horizontal="left" vertical="top"/>
    </xf>
    <xf numFmtId="0" fontId="3" fillId="10" borderId="0" xfId="0" applyFont="1" applyFill="1" applyAlignment="1">
      <alignment vertical="top" wrapText="1"/>
    </xf>
    <xf numFmtId="0" fontId="18" fillId="0" borderId="0" xfId="0" applyFont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48">
    <dxf>
      <fill>
        <patternFill>
          <bgColor theme="0" tint="-0.14996795556505021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0.14996795556505021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4.9989318521683403E-2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0.14996795556505021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4.9989318521683403E-2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0.14996795556505021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4.9989318521683403E-2"/>
        </patternFill>
      </fill>
    </dxf>
    <dxf>
      <fill>
        <patternFill>
          <bgColor rgb="FF0070C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88599389585696E-3"/>
          <c:y val="0"/>
          <c:w val="0.9970171010663883"/>
          <c:h val="0.95726185741933778"/>
        </c:manualLayout>
      </c:layout>
      <c:areaChart>
        <c:grouping val="standard"/>
        <c:varyColors val="0"/>
        <c:ser>
          <c:idx val="0"/>
          <c:order val="0"/>
          <c:tx>
            <c:v>x1</c:v>
          </c:tx>
          <c:spPr>
            <a:solidFill>
              <a:schemeClr val="bg1">
                <a:lumMod val="50000"/>
              </a:schemeClr>
            </a:solidFill>
            <a:ln w="12700">
              <a:noFill/>
            </a:ln>
          </c:spPr>
          <c:cat>
            <c:numRef>
              <c:f>'Full Data Array'!$BE$4:$BE$1443</c:f>
              <c:numCache>
                <c:formatCode>h:mm</c:formatCode>
                <c:ptCount val="1440"/>
                <c:pt idx="0">
                  <c:v>0.16666666666666666</c:v>
                </c:pt>
                <c:pt idx="1">
                  <c:v>0.1673611111111111</c:v>
                </c:pt>
                <c:pt idx="2">
                  <c:v>0.16805555555555554</c:v>
                </c:pt>
                <c:pt idx="3">
                  <c:v>0.16874999999999998</c:v>
                </c:pt>
                <c:pt idx="4">
                  <c:v>0.16944444444444443</c:v>
                </c:pt>
                <c:pt idx="5">
                  <c:v>0.17013888888888887</c:v>
                </c:pt>
                <c:pt idx="6">
                  <c:v>0.17083333333333331</c:v>
                </c:pt>
                <c:pt idx="7">
                  <c:v>0.17152777777777775</c:v>
                </c:pt>
                <c:pt idx="8">
                  <c:v>0.17222222222222219</c:v>
                </c:pt>
                <c:pt idx="9">
                  <c:v>0.17291666666666664</c:v>
                </c:pt>
                <c:pt idx="10">
                  <c:v>0.17361111111111108</c:v>
                </c:pt>
                <c:pt idx="11">
                  <c:v>0.17430555555555552</c:v>
                </c:pt>
                <c:pt idx="12">
                  <c:v>0.17499999999999996</c:v>
                </c:pt>
                <c:pt idx="13">
                  <c:v>0.1756944444444444</c:v>
                </c:pt>
                <c:pt idx="14">
                  <c:v>0.17638888888888885</c:v>
                </c:pt>
                <c:pt idx="15">
                  <c:v>0.17708333333333329</c:v>
                </c:pt>
                <c:pt idx="16">
                  <c:v>0.17777777777777773</c:v>
                </c:pt>
                <c:pt idx="17">
                  <c:v>0.17847222222222217</c:v>
                </c:pt>
                <c:pt idx="18">
                  <c:v>0.17916666666666661</c:v>
                </c:pt>
                <c:pt idx="19">
                  <c:v>0.17986111111111105</c:v>
                </c:pt>
                <c:pt idx="20">
                  <c:v>0.1805555555555555</c:v>
                </c:pt>
                <c:pt idx="21">
                  <c:v>0.18124999999999994</c:v>
                </c:pt>
                <c:pt idx="22">
                  <c:v>0.18194444444444438</c:v>
                </c:pt>
                <c:pt idx="23">
                  <c:v>0.18263888888888882</c:v>
                </c:pt>
                <c:pt idx="24">
                  <c:v>0.18333333333333326</c:v>
                </c:pt>
                <c:pt idx="25">
                  <c:v>0.18402777777777771</c:v>
                </c:pt>
                <c:pt idx="26">
                  <c:v>0.18472222222222215</c:v>
                </c:pt>
                <c:pt idx="27">
                  <c:v>0.18541666666666659</c:v>
                </c:pt>
                <c:pt idx="28">
                  <c:v>0.18611111111111103</c:v>
                </c:pt>
                <c:pt idx="29">
                  <c:v>0.18680555555555547</c:v>
                </c:pt>
                <c:pt idx="30">
                  <c:v>0.18749999999999992</c:v>
                </c:pt>
                <c:pt idx="31">
                  <c:v>0.18819444444444436</c:v>
                </c:pt>
                <c:pt idx="32">
                  <c:v>0.1888888888888888</c:v>
                </c:pt>
                <c:pt idx="33">
                  <c:v>0.18958333333333324</c:v>
                </c:pt>
                <c:pt idx="34">
                  <c:v>0.19027777777777768</c:v>
                </c:pt>
                <c:pt idx="35">
                  <c:v>0.19097222222222213</c:v>
                </c:pt>
                <c:pt idx="36">
                  <c:v>0.19166666666666657</c:v>
                </c:pt>
                <c:pt idx="37">
                  <c:v>0.19236111111111101</c:v>
                </c:pt>
                <c:pt idx="38">
                  <c:v>0.19305555555555545</c:v>
                </c:pt>
                <c:pt idx="39">
                  <c:v>0.19374999999999989</c:v>
                </c:pt>
                <c:pt idx="40">
                  <c:v>0.19444444444444434</c:v>
                </c:pt>
                <c:pt idx="41">
                  <c:v>0.19513888888888878</c:v>
                </c:pt>
                <c:pt idx="42">
                  <c:v>0.19583333333333322</c:v>
                </c:pt>
                <c:pt idx="43">
                  <c:v>0.19652777777777766</c:v>
                </c:pt>
                <c:pt idx="44">
                  <c:v>0.1972222222222221</c:v>
                </c:pt>
                <c:pt idx="45">
                  <c:v>0.19791666666666655</c:v>
                </c:pt>
                <c:pt idx="46">
                  <c:v>0.19861111111111099</c:v>
                </c:pt>
                <c:pt idx="47">
                  <c:v>0.19930555555555543</c:v>
                </c:pt>
                <c:pt idx="48">
                  <c:v>0.19999999999999987</c:v>
                </c:pt>
                <c:pt idx="49">
                  <c:v>0.20069444444444431</c:v>
                </c:pt>
                <c:pt idx="50">
                  <c:v>0.20138888888888876</c:v>
                </c:pt>
                <c:pt idx="51">
                  <c:v>0.2020833333333332</c:v>
                </c:pt>
                <c:pt idx="52">
                  <c:v>0.20277777777777764</c:v>
                </c:pt>
                <c:pt idx="53">
                  <c:v>0.20347222222222208</c:v>
                </c:pt>
                <c:pt idx="54">
                  <c:v>0.20416666666666652</c:v>
                </c:pt>
                <c:pt idx="55">
                  <c:v>0.20486111111111097</c:v>
                </c:pt>
                <c:pt idx="56">
                  <c:v>0.20555555555555541</c:v>
                </c:pt>
                <c:pt idx="57">
                  <c:v>0.20624999999999985</c:v>
                </c:pt>
                <c:pt idx="58">
                  <c:v>0.20694444444444429</c:v>
                </c:pt>
                <c:pt idx="59">
                  <c:v>0.20763888888888873</c:v>
                </c:pt>
                <c:pt idx="60">
                  <c:v>0.20833333333333318</c:v>
                </c:pt>
                <c:pt idx="61">
                  <c:v>0.20902777777777762</c:v>
                </c:pt>
                <c:pt idx="62">
                  <c:v>0.20972222222222206</c:v>
                </c:pt>
                <c:pt idx="63">
                  <c:v>0.2104166666666665</c:v>
                </c:pt>
                <c:pt idx="64">
                  <c:v>0.21111111111111094</c:v>
                </c:pt>
                <c:pt idx="65">
                  <c:v>0.21180555555555539</c:v>
                </c:pt>
                <c:pt idx="66">
                  <c:v>0.21249999999999983</c:v>
                </c:pt>
                <c:pt idx="67">
                  <c:v>0.21319444444444427</c:v>
                </c:pt>
                <c:pt idx="68">
                  <c:v>0.21388888888888871</c:v>
                </c:pt>
                <c:pt idx="69">
                  <c:v>0.21458333333333315</c:v>
                </c:pt>
                <c:pt idx="70">
                  <c:v>0.2152777777777776</c:v>
                </c:pt>
                <c:pt idx="71">
                  <c:v>0.21597222222222204</c:v>
                </c:pt>
                <c:pt idx="72">
                  <c:v>0.21666666666666648</c:v>
                </c:pt>
                <c:pt idx="73">
                  <c:v>0.21736111111111092</c:v>
                </c:pt>
                <c:pt idx="74">
                  <c:v>0.21805555555555536</c:v>
                </c:pt>
                <c:pt idx="75">
                  <c:v>0.21874999999999981</c:v>
                </c:pt>
                <c:pt idx="76">
                  <c:v>0.21944444444444425</c:v>
                </c:pt>
                <c:pt idx="77">
                  <c:v>0.22013888888888869</c:v>
                </c:pt>
                <c:pt idx="78">
                  <c:v>0.22083333333333313</c:v>
                </c:pt>
                <c:pt idx="79">
                  <c:v>0.22152777777777757</c:v>
                </c:pt>
                <c:pt idx="80">
                  <c:v>0.22222222222222202</c:v>
                </c:pt>
                <c:pt idx="81">
                  <c:v>0.22291666666666646</c:v>
                </c:pt>
                <c:pt idx="82">
                  <c:v>0.2236111111111109</c:v>
                </c:pt>
                <c:pt idx="83">
                  <c:v>0.22430555555555534</c:v>
                </c:pt>
                <c:pt idx="84">
                  <c:v>0.22499999999999978</c:v>
                </c:pt>
                <c:pt idx="85">
                  <c:v>0.22569444444444423</c:v>
                </c:pt>
                <c:pt idx="86">
                  <c:v>0.22638888888888867</c:v>
                </c:pt>
                <c:pt idx="87">
                  <c:v>0.22708333333333311</c:v>
                </c:pt>
                <c:pt idx="88">
                  <c:v>0.22777777777777755</c:v>
                </c:pt>
                <c:pt idx="89">
                  <c:v>0.22847222222222199</c:v>
                </c:pt>
                <c:pt idx="90">
                  <c:v>0.22916666666666644</c:v>
                </c:pt>
                <c:pt idx="91">
                  <c:v>0.22986111111111088</c:v>
                </c:pt>
                <c:pt idx="92">
                  <c:v>0.23055555555555532</c:v>
                </c:pt>
                <c:pt idx="93">
                  <c:v>0.23124999999999976</c:v>
                </c:pt>
                <c:pt idx="94">
                  <c:v>0.2319444444444442</c:v>
                </c:pt>
                <c:pt idx="95">
                  <c:v>0.23263888888888865</c:v>
                </c:pt>
                <c:pt idx="96">
                  <c:v>0.23333333333333309</c:v>
                </c:pt>
                <c:pt idx="97">
                  <c:v>0.23402777777777753</c:v>
                </c:pt>
                <c:pt idx="98">
                  <c:v>0.23472222222222197</c:v>
                </c:pt>
                <c:pt idx="99">
                  <c:v>0.23541666666666641</c:v>
                </c:pt>
                <c:pt idx="100">
                  <c:v>0.23611111111111086</c:v>
                </c:pt>
                <c:pt idx="101">
                  <c:v>0.2368055555555553</c:v>
                </c:pt>
                <c:pt idx="102">
                  <c:v>0.23749999999999974</c:v>
                </c:pt>
                <c:pt idx="103">
                  <c:v>0.23819444444444418</c:v>
                </c:pt>
                <c:pt idx="104">
                  <c:v>0.23888888888888862</c:v>
                </c:pt>
                <c:pt idx="105">
                  <c:v>0.23958333333333307</c:v>
                </c:pt>
                <c:pt idx="106">
                  <c:v>0.24027777777777751</c:v>
                </c:pt>
                <c:pt idx="107">
                  <c:v>0.24097222222222195</c:v>
                </c:pt>
                <c:pt idx="108">
                  <c:v>0.24166666666666639</c:v>
                </c:pt>
                <c:pt idx="109">
                  <c:v>0.24236111111111083</c:v>
                </c:pt>
                <c:pt idx="110">
                  <c:v>0.24305555555555527</c:v>
                </c:pt>
                <c:pt idx="111">
                  <c:v>0.24374999999999972</c:v>
                </c:pt>
                <c:pt idx="112">
                  <c:v>0.24444444444444416</c:v>
                </c:pt>
                <c:pt idx="113">
                  <c:v>0.2451388888888886</c:v>
                </c:pt>
                <c:pt idx="114">
                  <c:v>0.24583333333333304</c:v>
                </c:pt>
                <c:pt idx="115">
                  <c:v>0.24652777777777748</c:v>
                </c:pt>
                <c:pt idx="116">
                  <c:v>0.24722222222222193</c:v>
                </c:pt>
                <c:pt idx="117">
                  <c:v>0.24791666666666637</c:v>
                </c:pt>
                <c:pt idx="118">
                  <c:v>0.24861111111111081</c:v>
                </c:pt>
                <c:pt idx="119">
                  <c:v>0.24930555555555525</c:v>
                </c:pt>
                <c:pt idx="120">
                  <c:v>0.24999999999999969</c:v>
                </c:pt>
                <c:pt idx="121">
                  <c:v>0.25069444444444416</c:v>
                </c:pt>
                <c:pt idx="122">
                  <c:v>0.25138888888888861</c:v>
                </c:pt>
                <c:pt idx="123">
                  <c:v>0.25208333333333305</c:v>
                </c:pt>
                <c:pt idx="124">
                  <c:v>0.25277777777777749</c:v>
                </c:pt>
                <c:pt idx="125">
                  <c:v>0.25347222222222193</c:v>
                </c:pt>
                <c:pt idx="126">
                  <c:v>0.25416666666666637</c:v>
                </c:pt>
                <c:pt idx="127">
                  <c:v>0.25486111111111082</c:v>
                </c:pt>
                <c:pt idx="128">
                  <c:v>0.25555555555555526</c:v>
                </c:pt>
                <c:pt idx="129">
                  <c:v>0.2562499999999997</c:v>
                </c:pt>
                <c:pt idx="130">
                  <c:v>0.25694444444444414</c:v>
                </c:pt>
                <c:pt idx="131">
                  <c:v>0.25763888888888858</c:v>
                </c:pt>
                <c:pt idx="132">
                  <c:v>0.25833333333333303</c:v>
                </c:pt>
                <c:pt idx="133">
                  <c:v>0.25902777777777747</c:v>
                </c:pt>
                <c:pt idx="134">
                  <c:v>0.25972222222222191</c:v>
                </c:pt>
                <c:pt idx="135">
                  <c:v>0.26041666666666635</c:v>
                </c:pt>
                <c:pt idx="136">
                  <c:v>0.26111111111111079</c:v>
                </c:pt>
                <c:pt idx="137">
                  <c:v>0.26180555555555524</c:v>
                </c:pt>
                <c:pt idx="138">
                  <c:v>0.26249999999999968</c:v>
                </c:pt>
                <c:pt idx="139">
                  <c:v>0.26319444444444412</c:v>
                </c:pt>
                <c:pt idx="140">
                  <c:v>0.26388888888888856</c:v>
                </c:pt>
                <c:pt idx="141">
                  <c:v>0.264583333333333</c:v>
                </c:pt>
                <c:pt idx="142">
                  <c:v>0.26527777777777745</c:v>
                </c:pt>
                <c:pt idx="143">
                  <c:v>0.26597222222222189</c:v>
                </c:pt>
                <c:pt idx="144">
                  <c:v>0.26666666666666633</c:v>
                </c:pt>
                <c:pt idx="145">
                  <c:v>0.26736111111111077</c:v>
                </c:pt>
                <c:pt idx="146">
                  <c:v>0.26805555555555521</c:v>
                </c:pt>
                <c:pt idx="147">
                  <c:v>0.26874999999999966</c:v>
                </c:pt>
                <c:pt idx="148">
                  <c:v>0.2694444444444441</c:v>
                </c:pt>
                <c:pt idx="149">
                  <c:v>0.27013888888888854</c:v>
                </c:pt>
                <c:pt idx="150">
                  <c:v>0.27083333333333298</c:v>
                </c:pt>
                <c:pt idx="151">
                  <c:v>0.27152777777777742</c:v>
                </c:pt>
                <c:pt idx="152">
                  <c:v>0.27222222222222187</c:v>
                </c:pt>
                <c:pt idx="153">
                  <c:v>0.27291666666666631</c:v>
                </c:pt>
                <c:pt idx="154">
                  <c:v>0.27361111111111075</c:v>
                </c:pt>
                <c:pt idx="155">
                  <c:v>0.27430555555555519</c:v>
                </c:pt>
                <c:pt idx="156">
                  <c:v>0.27499999999999963</c:v>
                </c:pt>
                <c:pt idx="157">
                  <c:v>0.27569444444444408</c:v>
                </c:pt>
                <c:pt idx="158">
                  <c:v>0.27638888888888852</c:v>
                </c:pt>
                <c:pt idx="159">
                  <c:v>0.27708333333333296</c:v>
                </c:pt>
                <c:pt idx="160">
                  <c:v>0.2777777777777774</c:v>
                </c:pt>
                <c:pt idx="161">
                  <c:v>0.27847222222222184</c:v>
                </c:pt>
                <c:pt idx="162">
                  <c:v>0.27916666666666629</c:v>
                </c:pt>
                <c:pt idx="163">
                  <c:v>0.27986111111111073</c:v>
                </c:pt>
                <c:pt idx="164">
                  <c:v>0.28055555555555517</c:v>
                </c:pt>
                <c:pt idx="165">
                  <c:v>0.28124999999999961</c:v>
                </c:pt>
                <c:pt idx="166">
                  <c:v>0.28194444444444405</c:v>
                </c:pt>
                <c:pt idx="167">
                  <c:v>0.2826388888888885</c:v>
                </c:pt>
                <c:pt idx="168">
                  <c:v>0.28333333333333294</c:v>
                </c:pt>
                <c:pt idx="169">
                  <c:v>0.28402777777777738</c:v>
                </c:pt>
                <c:pt idx="170">
                  <c:v>0.28472222222222182</c:v>
                </c:pt>
                <c:pt idx="171">
                  <c:v>0.28541666666666626</c:v>
                </c:pt>
                <c:pt idx="172">
                  <c:v>0.28611111111111071</c:v>
                </c:pt>
                <c:pt idx="173">
                  <c:v>0.28680555555555515</c:v>
                </c:pt>
                <c:pt idx="174">
                  <c:v>0.28749999999999959</c:v>
                </c:pt>
                <c:pt idx="175">
                  <c:v>0.28819444444444403</c:v>
                </c:pt>
                <c:pt idx="176">
                  <c:v>0.28888888888888847</c:v>
                </c:pt>
                <c:pt idx="177">
                  <c:v>0.28958333333333292</c:v>
                </c:pt>
                <c:pt idx="178">
                  <c:v>0.29027777777777736</c:v>
                </c:pt>
                <c:pt idx="179">
                  <c:v>0.2909722222222218</c:v>
                </c:pt>
                <c:pt idx="180">
                  <c:v>0.29166666666666624</c:v>
                </c:pt>
                <c:pt idx="181">
                  <c:v>0.29236111111111068</c:v>
                </c:pt>
                <c:pt idx="182">
                  <c:v>0.29305555555555513</c:v>
                </c:pt>
                <c:pt idx="183">
                  <c:v>0.29374999999999957</c:v>
                </c:pt>
                <c:pt idx="184">
                  <c:v>0.29444444444444401</c:v>
                </c:pt>
                <c:pt idx="185">
                  <c:v>0.29513888888888845</c:v>
                </c:pt>
                <c:pt idx="186">
                  <c:v>0.29583333333333289</c:v>
                </c:pt>
                <c:pt idx="187">
                  <c:v>0.29652777777777733</c:v>
                </c:pt>
                <c:pt idx="188">
                  <c:v>0.29722222222222178</c:v>
                </c:pt>
                <c:pt idx="189">
                  <c:v>0.29791666666666622</c:v>
                </c:pt>
                <c:pt idx="190">
                  <c:v>0.29861111111111066</c:v>
                </c:pt>
                <c:pt idx="191">
                  <c:v>0.2993055555555551</c:v>
                </c:pt>
                <c:pt idx="192">
                  <c:v>0.29999999999999954</c:v>
                </c:pt>
                <c:pt idx="193">
                  <c:v>0.30069444444444399</c:v>
                </c:pt>
                <c:pt idx="194">
                  <c:v>0.30138888888888843</c:v>
                </c:pt>
                <c:pt idx="195">
                  <c:v>0.30208333333333287</c:v>
                </c:pt>
                <c:pt idx="196">
                  <c:v>0.30277777777777731</c:v>
                </c:pt>
                <c:pt idx="197">
                  <c:v>0.30347222222222175</c:v>
                </c:pt>
                <c:pt idx="198">
                  <c:v>0.3041666666666662</c:v>
                </c:pt>
                <c:pt idx="199">
                  <c:v>0.30486111111111064</c:v>
                </c:pt>
                <c:pt idx="200">
                  <c:v>0.30555555555555508</c:v>
                </c:pt>
                <c:pt idx="201">
                  <c:v>0.30624999999999952</c:v>
                </c:pt>
                <c:pt idx="202">
                  <c:v>0.30694444444444396</c:v>
                </c:pt>
                <c:pt idx="203">
                  <c:v>0.30763888888888841</c:v>
                </c:pt>
                <c:pt idx="204">
                  <c:v>0.30833333333333285</c:v>
                </c:pt>
                <c:pt idx="205">
                  <c:v>0.30902777777777729</c:v>
                </c:pt>
                <c:pt idx="206">
                  <c:v>0.30972222222222173</c:v>
                </c:pt>
                <c:pt idx="207">
                  <c:v>0.31041666666666617</c:v>
                </c:pt>
                <c:pt idx="208">
                  <c:v>0.31111111111111062</c:v>
                </c:pt>
                <c:pt idx="209">
                  <c:v>0.31180555555555506</c:v>
                </c:pt>
                <c:pt idx="210">
                  <c:v>0.3124999999999995</c:v>
                </c:pt>
                <c:pt idx="211">
                  <c:v>0.31319444444444394</c:v>
                </c:pt>
                <c:pt idx="212">
                  <c:v>0.31388888888888838</c:v>
                </c:pt>
                <c:pt idx="213">
                  <c:v>0.31458333333333283</c:v>
                </c:pt>
                <c:pt idx="214">
                  <c:v>0.31527777777777727</c:v>
                </c:pt>
                <c:pt idx="215">
                  <c:v>0.31597222222222171</c:v>
                </c:pt>
                <c:pt idx="216">
                  <c:v>0.31666666666666615</c:v>
                </c:pt>
                <c:pt idx="217">
                  <c:v>0.31736111111111059</c:v>
                </c:pt>
                <c:pt idx="218">
                  <c:v>0.31805555555555504</c:v>
                </c:pt>
                <c:pt idx="219">
                  <c:v>0.31874999999999948</c:v>
                </c:pt>
                <c:pt idx="220">
                  <c:v>0.31944444444444392</c:v>
                </c:pt>
                <c:pt idx="221">
                  <c:v>0.32013888888888836</c:v>
                </c:pt>
                <c:pt idx="222">
                  <c:v>0.3208333333333328</c:v>
                </c:pt>
                <c:pt idx="223">
                  <c:v>0.32152777777777725</c:v>
                </c:pt>
                <c:pt idx="224">
                  <c:v>0.32222222222222169</c:v>
                </c:pt>
                <c:pt idx="225">
                  <c:v>0.32291666666666613</c:v>
                </c:pt>
                <c:pt idx="226">
                  <c:v>0.32361111111111057</c:v>
                </c:pt>
                <c:pt idx="227">
                  <c:v>0.32430555555555501</c:v>
                </c:pt>
                <c:pt idx="228">
                  <c:v>0.32499999999999946</c:v>
                </c:pt>
                <c:pt idx="229">
                  <c:v>0.3256944444444439</c:v>
                </c:pt>
                <c:pt idx="230">
                  <c:v>0.32638888888888834</c:v>
                </c:pt>
                <c:pt idx="231">
                  <c:v>0.32708333333333278</c:v>
                </c:pt>
                <c:pt idx="232">
                  <c:v>0.32777777777777722</c:v>
                </c:pt>
                <c:pt idx="233">
                  <c:v>0.32847222222222167</c:v>
                </c:pt>
                <c:pt idx="234">
                  <c:v>0.32916666666666611</c:v>
                </c:pt>
                <c:pt idx="235">
                  <c:v>0.32986111111111055</c:v>
                </c:pt>
                <c:pt idx="236">
                  <c:v>0.33055555555555499</c:v>
                </c:pt>
                <c:pt idx="237">
                  <c:v>0.33124999999999943</c:v>
                </c:pt>
                <c:pt idx="238">
                  <c:v>0.33194444444444388</c:v>
                </c:pt>
                <c:pt idx="239">
                  <c:v>0.33263888888888832</c:v>
                </c:pt>
                <c:pt idx="240">
                  <c:v>0.33333333333333276</c:v>
                </c:pt>
                <c:pt idx="241">
                  <c:v>0.3340277777777772</c:v>
                </c:pt>
                <c:pt idx="242">
                  <c:v>0.33472222222222164</c:v>
                </c:pt>
                <c:pt idx="243">
                  <c:v>0.33541666666666609</c:v>
                </c:pt>
                <c:pt idx="244">
                  <c:v>0.33611111111111053</c:v>
                </c:pt>
                <c:pt idx="245">
                  <c:v>0.33680555555555497</c:v>
                </c:pt>
                <c:pt idx="246">
                  <c:v>0.33749999999999941</c:v>
                </c:pt>
                <c:pt idx="247">
                  <c:v>0.33819444444444385</c:v>
                </c:pt>
                <c:pt idx="248">
                  <c:v>0.3388888888888883</c:v>
                </c:pt>
                <c:pt idx="249">
                  <c:v>0.33958333333333274</c:v>
                </c:pt>
                <c:pt idx="250">
                  <c:v>0.34027777777777718</c:v>
                </c:pt>
                <c:pt idx="251">
                  <c:v>0.34097222222222162</c:v>
                </c:pt>
                <c:pt idx="252">
                  <c:v>0.34166666666666606</c:v>
                </c:pt>
                <c:pt idx="253">
                  <c:v>0.34236111111111051</c:v>
                </c:pt>
                <c:pt idx="254">
                  <c:v>0.34305555555555495</c:v>
                </c:pt>
                <c:pt idx="255">
                  <c:v>0.34374999999999939</c:v>
                </c:pt>
                <c:pt idx="256">
                  <c:v>0.34444444444444383</c:v>
                </c:pt>
                <c:pt idx="257">
                  <c:v>0.34513888888888827</c:v>
                </c:pt>
                <c:pt idx="258">
                  <c:v>0.34583333333333272</c:v>
                </c:pt>
                <c:pt idx="259">
                  <c:v>0.34652777777777716</c:v>
                </c:pt>
                <c:pt idx="260">
                  <c:v>0.3472222222222216</c:v>
                </c:pt>
                <c:pt idx="261">
                  <c:v>0.34791666666666604</c:v>
                </c:pt>
                <c:pt idx="262">
                  <c:v>0.34861111111111048</c:v>
                </c:pt>
                <c:pt idx="263">
                  <c:v>0.34930555555555493</c:v>
                </c:pt>
                <c:pt idx="264">
                  <c:v>0.34999999999999937</c:v>
                </c:pt>
                <c:pt idx="265">
                  <c:v>0.35069444444444381</c:v>
                </c:pt>
                <c:pt idx="266">
                  <c:v>0.35138888888888825</c:v>
                </c:pt>
                <c:pt idx="267">
                  <c:v>0.35208333333333269</c:v>
                </c:pt>
                <c:pt idx="268">
                  <c:v>0.35277777777777714</c:v>
                </c:pt>
                <c:pt idx="269">
                  <c:v>0.35347222222222158</c:v>
                </c:pt>
                <c:pt idx="270">
                  <c:v>0.35416666666666602</c:v>
                </c:pt>
                <c:pt idx="271">
                  <c:v>0.35486111111111046</c:v>
                </c:pt>
                <c:pt idx="272">
                  <c:v>0.3555555555555549</c:v>
                </c:pt>
                <c:pt idx="273">
                  <c:v>0.35624999999999934</c:v>
                </c:pt>
                <c:pt idx="274">
                  <c:v>0.35694444444444379</c:v>
                </c:pt>
                <c:pt idx="275">
                  <c:v>0.35763888888888823</c:v>
                </c:pt>
                <c:pt idx="276">
                  <c:v>0.35833333333333267</c:v>
                </c:pt>
                <c:pt idx="277">
                  <c:v>0.35902777777777711</c:v>
                </c:pt>
                <c:pt idx="278">
                  <c:v>0.35972222222222155</c:v>
                </c:pt>
                <c:pt idx="279">
                  <c:v>0.360416666666666</c:v>
                </c:pt>
                <c:pt idx="280">
                  <c:v>0.36111111111111044</c:v>
                </c:pt>
                <c:pt idx="281">
                  <c:v>0.36180555555555488</c:v>
                </c:pt>
                <c:pt idx="282">
                  <c:v>0.36249999999999932</c:v>
                </c:pt>
                <c:pt idx="283">
                  <c:v>0.36319444444444376</c:v>
                </c:pt>
                <c:pt idx="284">
                  <c:v>0.36388888888888821</c:v>
                </c:pt>
                <c:pt idx="285">
                  <c:v>0.36458333333333265</c:v>
                </c:pt>
                <c:pt idx="286">
                  <c:v>0.36527777777777709</c:v>
                </c:pt>
                <c:pt idx="287">
                  <c:v>0.36597222222222153</c:v>
                </c:pt>
                <c:pt idx="288">
                  <c:v>0.36666666666666597</c:v>
                </c:pt>
                <c:pt idx="289">
                  <c:v>0.36736111111111042</c:v>
                </c:pt>
                <c:pt idx="290">
                  <c:v>0.36805555555555486</c:v>
                </c:pt>
                <c:pt idx="291">
                  <c:v>0.3687499999999993</c:v>
                </c:pt>
                <c:pt idx="292">
                  <c:v>0.36944444444444374</c:v>
                </c:pt>
                <c:pt idx="293">
                  <c:v>0.37013888888888818</c:v>
                </c:pt>
                <c:pt idx="294">
                  <c:v>0.37083333333333263</c:v>
                </c:pt>
                <c:pt idx="295">
                  <c:v>0.37152777777777707</c:v>
                </c:pt>
                <c:pt idx="296">
                  <c:v>0.37222222222222151</c:v>
                </c:pt>
                <c:pt idx="297">
                  <c:v>0.37291666666666595</c:v>
                </c:pt>
                <c:pt idx="298">
                  <c:v>0.37361111111111039</c:v>
                </c:pt>
                <c:pt idx="299">
                  <c:v>0.37430555555555484</c:v>
                </c:pt>
                <c:pt idx="300">
                  <c:v>0.37499999999999928</c:v>
                </c:pt>
                <c:pt idx="301">
                  <c:v>0.37569444444444372</c:v>
                </c:pt>
                <c:pt idx="302">
                  <c:v>0.37638888888888816</c:v>
                </c:pt>
                <c:pt idx="303">
                  <c:v>0.3770833333333326</c:v>
                </c:pt>
                <c:pt idx="304">
                  <c:v>0.37777777777777705</c:v>
                </c:pt>
                <c:pt idx="305">
                  <c:v>0.37847222222222149</c:v>
                </c:pt>
                <c:pt idx="306">
                  <c:v>0.37916666666666593</c:v>
                </c:pt>
                <c:pt idx="307">
                  <c:v>0.37986111111111037</c:v>
                </c:pt>
                <c:pt idx="308">
                  <c:v>0.38055555555555481</c:v>
                </c:pt>
                <c:pt idx="309">
                  <c:v>0.38124999999999926</c:v>
                </c:pt>
                <c:pt idx="310">
                  <c:v>0.3819444444444437</c:v>
                </c:pt>
                <c:pt idx="311">
                  <c:v>0.38263888888888814</c:v>
                </c:pt>
                <c:pt idx="312">
                  <c:v>0.38333333333333258</c:v>
                </c:pt>
                <c:pt idx="313">
                  <c:v>0.38402777777777702</c:v>
                </c:pt>
                <c:pt idx="314">
                  <c:v>0.38472222222222147</c:v>
                </c:pt>
                <c:pt idx="315">
                  <c:v>0.38541666666666591</c:v>
                </c:pt>
                <c:pt idx="316">
                  <c:v>0.38611111111111035</c:v>
                </c:pt>
                <c:pt idx="317">
                  <c:v>0.38680555555555479</c:v>
                </c:pt>
                <c:pt idx="318">
                  <c:v>0.38749999999999923</c:v>
                </c:pt>
                <c:pt idx="319">
                  <c:v>0.38819444444444368</c:v>
                </c:pt>
                <c:pt idx="320">
                  <c:v>0.38888888888888812</c:v>
                </c:pt>
                <c:pt idx="321">
                  <c:v>0.38958333333333256</c:v>
                </c:pt>
                <c:pt idx="322">
                  <c:v>0.390277777777777</c:v>
                </c:pt>
                <c:pt idx="323">
                  <c:v>0.39097222222222144</c:v>
                </c:pt>
                <c:pt idx="324">
                  <c:v>0.39166666666666589</c:v>
                </c:pt>
                <c:pt idx="325">
                  <c:v>0.39236111111111033</c:v>
                </c:pt>
                <c:pt idx="326">
                  <c:v>0.39305555555555477</c:v>
                </c:pt>
                <c:pt idx="327">
                  <c:v>0.39374999999999921</c:v>
                </c:pt>
                <c:pt idx="328">
                  <c:v>0.39444444444444365</c:v>
                </c:pt>
                <c:pt idx="329">
                  <c:v>0.3951388888888881</c:v>
                </c:pt>
                <c:pt idx="330">
                  <c:v>0.39583333333333254</c:v>
                </c:pt>
                <c:pt idx="331">
                  <c:v>0.39652777777777698</c:v>
                </c:pt>
                <c:pt idx="332">
                  <c:v>0.39722222222222142</c:v>
                </c:pt>
                <c:pt idx="333">
                  <c:v>0.39791666666666586</c:v>
                </c:pt>
                <c:pt idx="334">
                  <c:v>0.39861111111111031</c:v>
                </c:pt>
                <c:pt idx="335">
                  <c:v>0.39930555555555475</c:v>
                </c:pt>
                <c:pt idx="336">
                  <c:v>0.39999999999999919</c:v>
                </c:pt>
                <c:pt idx="337">
                  <c:v>0.40069444444444363</c:v>
                </c:pt>
                <c:pt idx="338">
                  <c:v>0.40138888888888807</c:v>
                </c:pt>
                <c:pt idx="339">
                  <c:v>0.40208333333333252</c:v>
                </c:pt>
                <c:pt idx="340">
                  <c:v>0.40277777777777696</c:v>
                </c:pt>
                <c:pt idx="341">
                  <c:v>0.4034722222222214</c:v>
                </c:pt>
                <c:pt idx="342">
                  <c:v>0.40416666666666584</c:v>
                </c:pt>
                <c:pt idx="343">
                  <c:v>0.40486111111111028</c:v>
                </c:pt>
                <c:pt idx="344">
                  <c:v>0.40555555555555473</c:v>
                </c:pt>
                <c:pt idx="345">
                  <c:v>0.40624999999999917</c:v>
                </c:pt>
                <c:pt idx="346">
                  <c:v>0.40694444444444361</c:v>
                </c:pt>
                <c:pt idx="347">
                  <c:v>0.40763888888888805</c:v>
                </c:pt>
                <c:pt idx="348">
                  <c:v>0.40833333333333249</c:v>
                </c:pt>
                <c:pt idx="349">
                  <c:v>0.40902777777777694</c:v>
                </c:pt>
                <c:pt idx="350">
                  <c:v>0.40972222222222138</c:v>
                </c:pt>
                <c:pt idx="351">
                  <c:v>0.41041666666666582</c:v>
                </c:pt>
                <c:pt idx="352">
                  <c:v>0.41111111111111026</c:v>
                </c:pt>
                <c:pt idx="353">
                  <c:v>0.4118055555555547</c:v>
                </c:pt>
                <c:pt idx="354">
                  <c:v>0.41249999999999915</c:v>
                </c:pt>
                <c:pt idx="355">
                  <c:v>0.41319444444444359</c:v>
                </c:pt>
                <c:pt idx="356">
                  <c:v>0.41388888888888803</c:v>
                </c:pt>
                <c:pt idx="357">
                  <c:v>0.41458333333333247</c:v>
                </c:pt>
                <c:pt idx="358">
                  <c:v>0.41527777777777691</c:v>
                </c:pt>
                <c:pt idx="359">
                  <c:v>0.41597222222222136</c:v>
                </c:pt>
                <c:pt idx="360">
                  <c:v>0.4166666666666658</c:v>
                </c:pt>
                <c:pt idx="361">
                  <c:v>0.41736111111111024</c:v>
                </c:pt>
                <c:pt idx="362">
                  <c:v>0.41805555555555468</c:v>
                </c:pt>
                <c:pt idx="363">
                  <c:v>0.41874999999999912</c:v>
                </c:pt>
                <c:pt idx="364">
                  <c:v>0.41944444444444356</c:v>
                </c:pt>
                <c:pt idx="365">
                  <c:v>0.42013888888888801</c:v>
                </c:pt>
                <c:pt idx="366">
                  <c:v>0.42083333333333245</c:v>
                </c:pt>
                <c:pt idx="367">
                  <c:v>0.42152777777777689</c:v>
                </c:pt>
                <c:pt idx="368">
                  <c:v>0.42222222222222133</c:v>
                </c:pt>
                <c:pt idx="369">
                  <c:v>0.42291666666666577</c:v>
                </c:pt>
                <c:pt idx="370">
                  <c:v>0.42361111111111022</c:v>
                </c:pt>
                <c:pt idx="371">
                  <c:v>0.42430555555555466</c:v>
                </c:pt>
                <c:pt idx="372">
                  <c:v>0.4249999999999991</c:v>
                </c:pt>
                <c:pt idx="373">
                  <c:v>0.42569444444444354</c:v>
                </c:pt>
                <c:pt idx="374">
                  <c:v>0.42638888888888798</c:v>
                </c:pt>
                <c:pt idx="375">
                  <c:v>0.42708333333333243</c:v>
                </c:pt>
                <c:pt idx="376">
                  <c:v>0.42777777777777687</c:v>
                </c:pt>
                <c:pt idx="377">
                  <c:v>0.42847222222222131</c:v>
                </c:pt>
                <c:pt idx="378">
                  <c:v>0.42916666666666575</c:v>
                </c:pt>
                <c:pt idx="379">
                  <c:v>0.42986111111111019</c:v>
                </c:pt>
                <c:pt idx="380">
                  <c:v>0.43055555555555464</c:v>
                </c:pt>
                <c:pt idx="381">
                  <c:v>0.43124999999999908</c:v>
                </c:pt>
                <c:pt idx="382">
                  <c:v>0.43194444444444352</c:v>
                </c:pt>
                <c:pt idx="383">
                  <c:v>0.43263888888888796</c:v>
                </c:pt>
                <c:pt idx="384">
                  <c:v>0.4333333333333324</c:v>
                </c:pt>
                <c:pt idx="385">
                  <c:v>0.43402777777777685</c:v>
                </c:pt>
                <c:pt idx="386">
                  <c:v>0.43472222222222129</c:v>
                </c:pt>
                <c:pt idx="387">
                  <c:v>0.43541666666666573</c:v>
                </c:pt>
                <c:pt idx="388">
                  <c:v>0.43611111111111017</c:v>
                </c:pt>
                <c:pt idx="389">
                  <c:v>0.43680555555555461</c:v>
                </c:pt>
                <c:pt idx="390">
                  <c:v>0.43749999999999906</c:v>
                </c:pt>
                <c:pt idx="391">
                  <c:v>0.4381944444444435</c:v>
                </c:pt>
                <c:pt idx="392">
                  <c:v>0.43888888888888794</c:v>
                </c:pt>
                <c:pt idx="393">
                  <c:v>0.43958333333333238</c:v>
                </c:pt>
                <c:pt idx="394">
                  <c:v>0.44027777777777682</c:v>
                </c:pt>
                <c:pt idx="395">
                  <c:v>0.44097222222222127</c:v>
                </c:pt>
                <c:pt idx="396">
                  <c:v>0.44166666666666571</c:v>
                </c:pt>
                <c:pt idx="397">
                  <c:v>0.44236111111111015</c:v>
                </c:pt>
                <c:pt idx="398">
                  <c:v>0.44305555555555459</c:v>
                </c:pt>
                <c:pt idx="399">
                  <c:v>0.44374999999999903</c:v>
                </c:pt>
                <c:pt idx="400">
                  <c:v>0.44444444444444348</c:v>
                </c:pt>
                <c:pt idx="401">
                  <c:v>0.44513888888888792</c:v>
                </c:pt>
                <c:pt idx="402">
                  <c:v>0.44583333333333236</c:v>
                </c:pt>
                <c:pt idx="403">
                  <c:v>0.4465277777777768</c:v>
                </c:pt>
                <c:pt idx="404">
                  <c:v>0.44722222222222124</c:v>
                </c:pt>
                <c:pt idx="405">
                  <c:v>0.44791666666666569</c:v>
                </c:pt>
                <c:pt idx="406">
                  <c:v>0.44861111111111013</c:v>
                </c:pt>
                <c:pt idx="407">
                  <c:v>0.44930555555555457</c:v>
                </c:pt>
                <c:pt idx="408">
                  <c:v>0.44999999999999901</c:v>
                </c:pt>
                <c:pt idx="409">
                  <c:v>0.45069444444444345</c:v>
                </c:pt>
                <c:pt idx="410">
                  <c:v>0.4513888888888879</c:v>
                </c:pt>
                <c:pt idx="411">
                  <c:v>0.45208333333333234</c:v>
                </c:pt>
                <c:pt idx="412">
                  <c:v>0.45277777777777678</c:v>
                </c:pt>
                <c:pt idx="413">
                  <c:v>0.45347222222222122</c:v>
                </c:pt>
                <c:pt idx="414">
                  <c:v>0.45416666666666566</c:v>
                </c:pt>
                <c:pt idx="415">
                  <c:v>0.45486111111111011</c:v>
                </c:pt>
                <c:pt idx="416">
                  <c:v>0.45555555555555455</c:v>
                </c:pt>
                <c:pt idx="417">
                  <c:v>0.45624999999999899</c:v>
                </c:pt>
                <c:pt idx="418">
                  <c:v>0.45694444444444343</c:v>
                </c:pt>
                <c:pt idx="419">
                  <c:v>0.45763888888888787</c:v>
                </c:pt>
                <c:pt idx="420">
                  <c:v>0.45833333333333232</c:v>
                </c:pt>
                <c:pt idx="421">
                  <c:v>0.45902777777777676</c:v>
                </c:pt>
                <c:pt idx="422">
                  <c:v>0.4597222222222212</c:v>
                </c:pt>
                <c:pt idx="423">
                  <c:v>0.46041666666666564</c:v>
                </c:pt>
                <c:pt idx="424">
                  <c:v>0.46111111111111008</c:v>
                </c:pt>
                <c:pt idx="425">
                  <c:v>0.46180555555555453</c:v>
                </c:pt>
                <c:pt idx="426">
                  <c:v>0.46249999999999897</c:v>
                </c:pt>
                <c:pt idx="427">
                  <c:v>0.46319444444444341</c:v>
                </c:pt>
                <c:pt idx="428">
                  <c:v>0.46388888888888785</c:v>
                </c:pt>
                <c:pt idx="429">
                  <c:v>0.46458333333333229</c:v>
                </c:pt>
                <c:pt idx="430">
                  <c:v>0.46527777777777674</c:v>
                </c:pt>
                <c:pt idx="431">
                  <c:v>0.46597222222222118</c:v>
                </c:pt>
                <c:pt idx="432">
                  <c:v>0.46666666666666562</c:v>
                </c:pt>
                <c:pt idx="433">
                  <c:v>0.46736111111111006</c:v>
                </c:pt>
                <c:pt idx="434">
                  <c:v>0.4680555555555545</c:v>
                </c:pt>
                <c:pt idx="435">
                  <c:v>0.46874999999999895</c:v>
                </c:pt>
                <c:pt idx="436">
                  <c:v>0.46944444444444339</c:v>
                </c:pt>
                <c:pt idx="437">
                  <c:v>0.47013888888888783</c:v>
                </c:pt>
                <c:pt idx="438">
                  <c:v>0.47083333333333227</c:v>
                </c:pt>
                <c:pt idx="439">
                  <c:v>0.47152777777777671</c:v>
                </c:pt>
                <c:pt idx="440">
                  <c:v>0.47222222222222116</c:v>
                </c:pt>
                <c:pt idx="441">
                  <c:v>0.4729166666666656</c:v>
                </c:pt>
                <c:pt idx="442">
                  <c:v>0.47361111111111004</c:v>
                </c:pt>
                <c:pt idx="443">
                  <c:v>0.47430555555555448</c:v>
                </c:pt>
                <c:pt idx="444">
                  <c:v>0.47499999999999892</c:v>
                </c:pt>
                <c:pt idx="445">
                  <c:v>0.47569444444444337</c:v>
                </c:pt>
                <c:pt idx="446">
                  <c:v>0.47638888888888781</c:v>
                </c:pt>
                <c:pt idx="447">
                  <c:v>0.47708333333333225</c:v>
                </c:pt>
                <c:pt idx="448">
                  <c:v>0.47777777777777669</c:v>
                </c:pt>
                <c:pt idx="449">
                  <c:v>0.47847222222222113</c:v>
                </c:pt>
                <c:pt idx="450">
                  <c:v>0.47916666666666557</c:v>
                </c:pt>
                <c:pt idx="451">
                  <c:v>0.47986111111111002</c:v>
                </c:pt>
                <c:pt idx="452">
                  <c:v>0.48055555555555446</c:v>
                </c:pt>
                <c:pt idx="453">
                  <c:v>0.4812499999999989</c:v>
                </c:pt>
                <c:pt idx="454">
                  <c:v>0.48194444444444334</c:v>
                </c:pt>
                <c:pt idx="455">
                  <c:v>0.48263888888888778</c:v>
                </c:pt>
                <c:pt idx="456">
                  <c:v>0.48333333333333223</c:v>
                </c:pt>
                <c:pt idx="457">
                  <c:v>0.48402777777777667</c:v>
                </c:pt>
                <c:pt idx="458">
                  <c:v>0.48472222222222111</c:v>
                </c:pt>
                <c:pt idx="459">
                  <c:v>0.48541666666666555</c:v>
                </c:pt>
                <c:pt idx="460">
                  <c:v>0.48611111111110999</c:v>
                </c:pt>
                <c:pt idx="461">
                  <c:v>0.48680555555555444</c:v>
                </c:pt>
                <c:pt idx="462">
                  <c:v>0.48749999999999888</c:v>
                </c:pt>
                <c:pt idx="463">
                  <c:v>0.48819444444444332</c:v>
                </c:pt>
                <c:pt idx="464">
                  <c:v>0.48888888888888776</c:v>
                </c:pt>
                <c:pt idx="465">
                  <c:v>0.4895833333333322</c:v>
                </c:pt>
                <c:pt idx="466">
                  <c:v>0.49027777777777665</c:v>
                </c:pt>
                <c:pt idx="467">
                  <c:v>0.49097222222222109</c:v>
                </c:pt>
                <c:pt idx="468">
                  <c:v>0.49166666666666553</c:v>
                </c:pt>
                <c:pt idx="469">
                  <c:v>0.49236111111110997</c:v>
                </c:pt>
                <c:pt idx="470">
                  <c:v>0.49305555555555441</c:v>
                </c:pt>
                <c:pt idx="471">
                  <c:v>0.49374999999999886</c:v>
                </c:pt>
                <c:pt idx="472">
                  <c:v>0.4944444444444433</c:v>
                </c:pt>
                <c:pt idx="473">
                  <c:v>0.49513888888888774</c:v>
                </c:pt>
                <c:pt idx="474">
                  <c:v>0.49583333333333218</c:v>
                </c:pt>
                <c:pt idx="475">
                  <c:v>0.49652777777777662</c:v>
                </c:pt>
                <c:pt idx="476">
                  <c:v>0.49722222222222107</c:v>
                </c:pt>
                <c:pt idx="477">
                  <c:v>0.49791666666666551</c:v>
                </c:pt>
                <c:pt idx="478">
                  <c:v>0.49861111111110995</c:v>
                </c:pt>
                <c:pt idx="479">
                  <c:v>0.49930555555555439</c:v>
                </c:pt>
                <c:pt idx="480">
                  <c:v>0.49999999999999883</c:v>
                </c:pt>
                <c:pt idx="481">
                  <c:v>0.50069444444444333</c:v>
                </c:pt>
                <c:pt idx="482">
                  <c:v>0.50138888888888777</c:v>
                </c:pt>
                <c:pt idx="483">
                  <c:v>0.50208333333333222</c:v>
                </c:pt>
                <c:pt idx="484">
                  <c:v>0.50277777777777666</c:v>
                </c:pt>
                <c:pt idx="485">
                  <c:v>0.5034722222222211</c:v>
                </c:pt>
                <c:pt idx="486">
                  <c:v>0.50416666666666554</c:v>
                </c:pt>
                <c:pt idx="487">
                  <c:v>0.50486111111110998</c:v>
                </c:pt>
                <c:pt idx="488">
                  <c:v>0.50555555555555443</c:v>
                </c:pt>
                <c:pt idx="489">
                  <c:v>0.50624999999999887</c:v>
                </c:pt>
                <c:pt idx="490">
                  <c:v>0.50694444444444331</c:v>
                </c:pt>
                <c:pt idx="491">
                  <c:v>0.50763888888888775</c:v>
                </c:pt>
                <c:pt idx="492">
                  <c:v>0.50833333333333219</c:v>
                </c:pt>
                <c:pt idx="493">
                  <c:v>0.50902777777777664</c:v>
                </c:pt>
                <c:pt idx="494">
                  <c:v>0.50972222222222108</c:v>
                </c:pt>
                <c:pt idx="495">
                  <c:v>0.51041666666666552</c:v>
                </c:pt>
                <c:pt idx="496">
                  <c:v>0.51111111111110996</c:v>
                </c:pt>
                <c:pt idx="497">
                  <c:v>0.5118055555555544</c:v>
                </c:pt>
                <c:pt idx="498">
                  <c:v>0.51249999999999885</c:v>
                </c:pt>
                <c:pt idx="499">
                  <c:v>0.51319444444444329</c:v>
                </c:pt>
                <c:pt idx="500">
                  <c:v>0.51388888888888773</c:v>
                </c:pt>
                <c:pt idx="501">
                  <c:v>0.51458333333333217</c:v>
                </c:pt>
                <c:pt idx="502">
                  <c:v>0.51527777777777661</c:v>
                </c:pt>
                <c:pt idx="503">
                  <c:v>0.51597222222222106</c:v>
                </c:pt>
                <c:pt idx="504">
                  <c:v>0.5166666666666655</c:v>
                </c:pt>
                <c:pt idx="505">
                  <c:v>0.51736111111110994</c:v>
                </c:pt>
                <c:pt idx="506">
                  <c:v>0.51805555555555438</c:v>
                </c:pt>
                <c:pt idx="507">
                  <c:v>0.51874999999999882</c:v>
                </c:pt>
                <c:pt idx="508">
                  <c:v>0.51944444444444327</c:v>
                </c:pt>
                <c:pt idx="509">
                  <c:v>0.52013888888888771</c:v>
                </c:pt>
                <c:pt idx="510">
                  <c:v>0.52083333333333215</c:v>
                </c:pt>
                <c:pt idx="511">
                  <c:v>0.52152777777777659</c:v>
                </c:pt>
                <c:pt idx="512">
                  <c:v>0.52222222222222103</c:v>
                </c:pt>
                <c:pt idx="513">
                  <c:v>0.52291666666666548</c:v>
                </c:pt>
                <c:pt idx="514">
                  <c:v>0.52361111111110992</c:v>
                </c:pt>
                <c:pt idx="515">
                  <c:v>0.52430555555555436</c:v>
                </c:pt>
                <c:pt idx="516">
                  <c:v>0.5249999999999988</c:v>
                </c:pt>
                <c:pt idx="517">
                  <c:v>0.52569444444444324</c:v>
                </c:pt>
                <c:pt idx="518">
                  <c:v>0.52638888888888768</c:v>
                </c:pt>
                <c:pt idx="519">
                  <c:v>0.52708333333333213</c:v>
                </c:pt>
                <c:pt idx="520">
                  <c:v>0.52777777777777657</c:v>
                </c:pt>
                <c:pt idx="521">
                  <c:v>0.52847222222222101</c:v>
                </c:pt>
                <c:pt idx="522">
                  <c:v>0.52916666666666545</c:v>
                </c:pt>
                <c:pt idx="523">
                  <c:v>0.52986111111110989</c:v>
                </c:pt>
                <c:pt idx="524">
                  <c:v>0.53055555555555434</c:v>
                </c:pt>
                <c:pt idx="525">
                  <c:v>0.53124999999999878</c:v>
                </c:pt>
                <c:pt idx="526">
                  <c:v>0.53194444444444322</c:v>
                </c:pt>
                <c:pt idx="527">
                  <c:v>0.53263888888888766</c:v>
                </c:pt>
                <c:pt idx="528">
                  <c:v>0.5333333333333321</c:v>
                </c:pt>
                <c:pt idx="529">
                  <c:v>0.53402777777777655</c:v>
                </c:pt>
                <c:pt idx="530">
                  <c:v>0.53472222222222099</c:v>
                </c:pt>
                <c:pt idx="531">
                  <c:v>0.53541666666666543</c:v>
                </c:pt>
                <c:pt idx="532">
                  <c:v>0.53611111111110987</c:v>
                </c:pt>
                <c:pt idx="533">
                  <c:v>0.53680555555555431</c:v>
                </c:pt>
                <c:pt idx="534">
                  <c:v>0.53749999999999876</c:v>
                </c:pt>
                <c:pt idx="535">
                  <c:v>0.5381944444444432</c:v>
                </c:pt>
                <c:pt idx="536">
                  <c:v>0.53888888888888764</c:v>
                </c:pt>
                <c:pt idx="537">
                  <c:v>0.53958333333333208</c:v>
                </c:pt>
                <c:pt idx="538">
                  <c:v>0.54027777777777652</c:v>
                </c:pt>
                <c:pt idx="539">
                  <c:v>0.54097222222222097</c:v>
                </c:pt>
                <c:pt idx="540">
                  <c:v>0.54166666666666541</c:v>
                </c:pt>
                <c:pt idx="541">
                  <c:v>0.54236111111110985</c:v>
                </c:pt>
                <c:pt idx="542">
                  <c:v>0.54305555555555429</c:v>
                </c:pt>
                <c:pt idx="543">
                  <c:v>0.54374999999999873</c:v>
                </c:pt>
                <c:pt idx="544">
                  <c:v>0.54444444444444318</c:v>
                </c:pt>
                <c:pt idx="545">
                  <c:v>0.54513888888888762</c:v>
                </c:pt>
                <c:pt idx="546">
                  <c:v>0.54583333333333206</c:v>
                </c:pt>
                <c:pt idx="547">
                  <c:v>0.5465277777777765</c:v>
                </c:pt>
                <c:pt idx="548">
                  <c:v>0.54722222222222094</c:v>
                </c:pt>
                <c:pt idx="549">
                  <c:v>0.54791666666666539</c:v>
                </c:pt>
                <c:pt idx="550">
                  <c:v>0.54861111111110983</c:v>
                </c:pt>
                <c:pt idx="551">
                  <c:v>0.54930555555555427</c:v>
                </c:pt>
                <c:pt idx="552">
                  <c:v>0.54999999999999871</c:v>
                </c:pt>
                <c:pt idx="553">
                  <c:v>0.55069444444444315</c:v>
                </c:pt>
                <c:pt idx="554">
                  <c:v>0.5513888888888876</c:v>
                </c:pt>
                <c:pt idx="555">
                  <c:v>0.55208333333333204</c:v>
                </c:pt>
                <c:pt idx="556">
                  <c:v>0.55277777777777648</c:v>
                </c:pt>
                <c:pt idx="557">
                  <c:v>0.55347222222222092</c:v>
                </c:pt>
                <c:pt idx="558">
                  <c:v>0.55416666666666536</c:v>
                </c:pt>
                <c:pt idx="559">
                  <c:v>0.55486111111110981</c:v>
                </c:pt>
                <c:pt idx="560">
                  <c:v>0.55555555555555425</c:v>
                </c:pt>
                <c:pt idx="561">
                  <c:v>0.55624999999999869</c:v>
                </c:pt>
                <c:pt idx="562">
                  <c:v>0.55694444444444313</c:v>
                </c:pt>
                <c:pt idx="563">
                  <c:v>0.55763888888888757</c:v>
                </c:pt>
                <c:pt idx="564">
                  <c:v>0.55833333333333202</c:v>
                </c:pt>
                <c:pt idx="565">
                  <c:v>0.55902777777777646</c:v>
                </c:pt>
                <c:pt idx="566">
                  <c:v>0.5597222222222209</c:v>
                </c:pt>
                <c:pt idx="567">
                  <c:v>0.56041666666666534</c:v>
                </c:pt>
                <c:pt idx="568">
                  <c:v>0.56111111111110978</c:v>
                </c:pt>
                <c:pt idx="569">
                  <c:v>0.56180555555555423</c:v>
                </c:pt>
                <c:pt idx="570">
                  <c:v>0.56249999999999867</c:v>
                </c:pt>
                <c:pt idx="571">
                  <c:v>0.56319444444444311</c:v>
                </c:pt>
                <c:pt idx="572">
                  <c:v>0.56388888888888755</c:v>
                </c:pt>
                <c:pt idx="573">
                  <c:v>0.56458333333333199</c:v>
                </c:pt>
                <c:pt idx="574">
                  <c:v>0.56527777777777644</c:v>
                </c:pt>
                <c:pt idx="575">
                  <c:v>0.56597222222222088</c:v>
                </c:pt>
                <c:pt idx="576">
                  <c:v>0.56666666666666532</c:v>
                </c:pt>
                <c:pt idx="577">
                  <c:v>0.56736111111110976</c:v>
                </c:pt>
                <c:pt idx="578">
                  <c:v>0.5680555555555542</c:v>
                </c:pt>
                <c:pt idx="579">
                  <c:v>0.56874999999999865</c:v>
                </c:pt>
                <c:pt idx="580">
                  <c:v>0.56944444444444309</c:v>
                </c:pt>
                <c:pt idx="581">
                  <c:v>0.57013888888888753</c:v>
                </c:pt>
                <c:pt idx="582">
                  <c:v>0.57083333333333197</c:v>
                </c:pt>
                <c:pt idx="583">
                  <c:v>0.57152777777777641</c:v>
                </c:pt>
                <c:pt idx="584">
                  <c:v>0.57222222222222086</c:v>
                </c:pt>
                <c:pt idx="585">
                  <c:v>0.5729166666666653</c:v>
                </c:pt>
                <c:pt idx="586">
                  <c:v>0.57361111111110974</c:v>
                </c:pt>
                <c:pt idx="587">
                  <c:v>0.57430555555555418</c:v>
                </c:pt>
                <c:pt idx="588">
                  <c:v>0.57499999999999862</c:v>
                </c:pt>
                <c:pt idx="589">
                  <c:v>0.57569444444444307</c:v>
                </c:pt>
                <c:pt idx="590">
                  <c:v>0.57638888888888751</c:v>
                </c:pt>
                <c:pt idx="591">
                  <c:v>0.57708333333333195</c:v>
                </c:pt>
                <c:pt idx="592">
                  <c:v>0.57777777777777639</c:v>
                </c:pt>
                <c:pt idx="593">
                  <c:v>0.57847222222222083</c:v>
                </c:pt>
                <c:pt idx="594">
                  <c:v>0.57916666666666528</c:v>
                </c:pt>
                <c:pt idx="595">
                  <c:v>0.57986111111110972</c:v>
                </c:pt>
                <c:pt idx="596">
                  <c:v>0.58055555555555416</c:v>
                </c:pt>
                <c:pt idx="597">
                  <c:v>0.5812499999999986</c:v>
                </c:pt>
                <c:pt idx="598">
                  <c:v>0.58194444444444304</c:v>
                </c:pt>
                <c:pt idx="599">
                  <c:v>0.58263888888888749</c:v>
                </c:pt>
                <c:pt idx="600">
                  <c:v>0.58333333333333193</c:v>
                </c:pt>
                <c:pt idx="601">
                  <c:v>0.58402777777777637</c:v>
                </c:pt>
                <c:pt idx="602">
                  <c:v>0.58472222222222081</c:v>
                </c:pt>
                <c:pt idx="603">
                  <c:v>0.58541666666666525</c:v>
                </c:pt>
                <c:pt idx="604">
                  <c:v>0.58611111111110969</c:v>
                </c:pt>
                <c:pt idx="605">
                  <c:v>0.58680555555555414</c:v>
                </c:pt>
                <c:pt idx="606">
                  <c:v>0.58749999999999858</c:v>
                </c:pt>
                <c:pt idx="607">
                  <c:v>0.58819444444444302</c:v>
                </c:pt>
                <c:pt idx="608">
                  <c:v>0.58888888888888746</c:v>
                </c:pt>
                <c:pt idx="609">
                  <c:v>0.5895833333333319</c:v>
                </c:pt>
                <c:pt idx="610">
                  <c:v>0.59027777777777635</c:v>
                </c:pt>
                <c:pt idx="611">
                  <c:v>0.59097222222222079</c:v>
                </c:pt>
                <c:pt idx="612">
                  <c:v>0.59166666666666523</c:v>
                </c:pt>
                <c:pt idx="613">
                  <c:v>0.59236111111110967</c:v>
                </c:pt>
                <c:pt idx="614">
                  <c:v>0.59305555555555411</c:v>
                </c:pt>
                <c:pt idx="615">
                  <c:v>0.59374999999999856</c:v>
                </c:pt>
                <c:pt idx="616">
                  <c:v>0.594444444444443</c:v>
                </c:pt>
                <c:pt idx="617">
                  <c:v>0.59513888888888744</c:v>
                </c:pt>
                <c:pt idx="618">
                  <c:v>0.59583333333333188</c:v>
                </c:pt>
                <c:pt idx="619">
                  <c:v>0.59652777777777632</c:v>
                </c:pt>
                <c:pt idx="620">
                  <c:v>0.59722222222222077</c:v>
                </c:pt>
                <c:pt idx="621">
                  <c:v>0.59791666666666521</c:v>
                </c:pt>
                <c:pt idx="622">
                  <c:v>0.59861111111110965</c:v>
                </c:pt>
                <c:pt idx="623">
                  <c:v>0.59930555555555409</c:v>
                </c:pt>
                <c:pt idx="624">
                  <c:v>0.59999999999999853</c:v>
                </c:pt>
                <c:pt idx="625">
                  <c:v>0.60069444444444298</c:v>
                </c:pt>
                <c:pt idx="626">
                  <c:v>0.60138888888888742</c:v>
                </c:pt>
                <c:pt idx="627">
                  <c:v>0.60208333333333186</c:v>
                </c:pt>
                <c:pt idx="628">
                  <c:v>0.6027777777777763</c:v>
                </c:pt>
                <c:pt idx="629">
                  <c:v>0.60347222222222074</c:v>
                </c:pt>
                <c:pt idx="630">
                  <c:v>0.60416666666666519</c:v>
                </c:pt>
                <c:pt idx="631">
                  <c:v>0.60486111111110963</c:v>
                </c:pt>
                <c:pt idx="632">
                  <c:v>0.60555555555555407</c:v>
                </c:pt>
                <c:pt idx="633">
                  <c:v>0.60624999999999851</c:v>
                </c:pt>
                <c:pt idx="634">
                  <c:v>0.60694444444444295</c:v>
                </c:pt>
                <c:pt idx="635">
                  <c:v>0.6076388888888874</c:v>
                </c:pt>
                <c:pt idx="636">
                  <c:v>0.60833333333333184</c:v>
                </c:pt>
                <c:pt idx="637">
                  <c:v>0.60902777777777628</c:v>
                </c:pt>
                <c:pt idx="638">
                  <c:v>0.60972222222222072</c:v>
                </c:pt>
                <c:pt idx="639">
                  <c:v>0.61041666666666516</c:v>
                </c:pt>
                <c:pt idx="640">
                  <c:v>0.61111111111110961</c:v>
                </c:pt>
                <c:pt idx="641">
                  <c:v>0.61180555555555405</c:v>
                </c:pt>
                <c:pt idx="642">
                  <c:v>0.61249999999999849</c:v>
                </c:pt>
                <c:pt idx="643">
                  <c:v>0.61319444444444293</c:v>
                </c:pt>
                <c:pt idx="644">
                  <c:v>0.61388888888888737</c:v>
                </c:pt>
                <c:pt idx="645">
                  <c:v>0.61458333333333182</c:v>
                </c:pt>
                <c:pt idx="646">
                  <c:v>0.61527777777777626</c:v>
                </c:pt>
                <c:pt idx="647">
                  <c:v>0.6159722222222207</c:v>
                </c:pt>
                <c:pt idx="648">
                  <c:v>0.61666666666666514</c:v>
                </c:pt>
                <c:pt idx="649">
                  <c:v>0.61736111111110958</c:v>
                </c:pt>
                <c:pt idx="650">
                  <c:v>0.61805555555555403</c:v>
                </c:pt>
                <c:pt idx="651">
                  <c:v>0.61874999999999847</c:v>
                </c:pt>
                <c:pt idx="652">
                  <c:v>0.61944444444444291</c:v>
                </c:pt>
                <c:pt idx="653">
                  <c:v>0.62013888888888735</c:v>
                </c:pt>
                <c:pt idx="654">
                  <c:v>0.62083333333333179</c:v>
                </c:pt>
                <c:pt idx="655">
                  <c:v>0.62152777777777624</c:v>
                </c:pt>
                <c:pt idx="656">
                  <c:v>0.62222222222222068</c:v>
                </c:pt>
                <c:pt idx="657">
                  <c:v>0.62291666666666512</c:v>
                </c:pt>
                <c:pt idx="658">
                  <c:v>0.62361111111110956</c:v>
                </c:pt>
                <c:pt idx="659">
                  <c:v>0.624305555555554</c:v>
                </c:pt>
                <c:pt idx="660">
                  <c:v>0.62499999999999845</c:v>
                </c:pt>
                <c:pt idx="661">
                  <c:v>0.62569444444444289</c:v>
                </c:pt>
                <c:pt idx="662">
                  <c:v>0.62638888888888733</c:v>
                </c:pt>
                <c:pt idx="663">
                  <c:v>0.62708333333333177</c:v>
                </c:pt>
                <c:pt idx="664">
                  <c:v>0.62777777777777621</c:v>
                </c:pt>
                <c:pt idx="665">
                  <c:v>0.62847222222222066</c:v>
                </c:pt>
                <c:pt idx="666">
                  <c:v>0.6291666666666651</c:v>
                </c:pt>
                <c:pt idx="667">
                  <c:v>0.62986111111110954</c:v>
                </c:pt>
                <c:pt idx="668">
                  <c:v>0.63055555555555398</c:v>
                </c:pt>
                <c:pt idx="669">
                  <c:v>0.63124999999999842</c:v>
                </c:pt>
                <c:pt idx="670">
                  <c:v>0.63194444444444287</c:v>
                </c:pt>
                <c:pt idx="671">
                  <c:v>0.63263888888888731</c:v>
                </c:pt>
                <c:pt idx="672">
                  <c:v>0.63333333333333175</c:v>
                </c:pt>
                <c:pt idx="673">
                  <c:v>0.63402777777777619</c:v>
                </c:pt>
                <c:pt idx="674">
                  <c:v>0.63472222222222063</c:v>
                </c:pt>
                <c:pt idx="675">
                  <c:v>0.63541666666666508</c:v>
                </c:pt>
                <c:pt idx="676">
                  <c:v>0.63611111111110952</c:v>
                </c:pt>
                <c:pt idx="677">
                  <c:v>0.63680555555555396</c:v>
                </c:pt>
                <c:pt idx="678">
                  <c:v>0.6374999999999984</c:v>
                </c:pt>
                <c:pt idx="679">
                  <c:v>0.63819444444444284</c:v>
                </c:pt>
                <c:pt idx="680">
                  <c:v>0.63888888888888729</c:v>
                </c:pt>
                <c:pt idx="681">
                  <c:v>0.63958333333333173</c:v>
                </c:pt>
                <c:pt idx="682">
                  <c:v>0.64027777777777617</c:v>
                </c:pt>
                <c:pt idx="683">
                  <c:v>0.64097222222222061</c:v>
                </c:pt>
                <c:pt idx="684">
                  <c:v>0.64166666666666505</c:v>
                </c:pt>
                <c:pt idx="685">
                  <c:v>0.6423611111111095</c:v>
                </c:pt>
                <c:pt idx="686">
                  <c:v>0.64305555555555394</c:v>
                </c:pt>
                <c:pt idx="687">
                  <c:v>0.64374999999999838</c:v>
                </c:pt>
                <c:pt idx="688">
                  <c:v>0.64444444444444282</c:v>
                </c:pt>
                <c:pt idx="689">
                  <c:v>0.64513888888888726</c:v>
                </c:pt>
                <c:pt idx="690">
                  <c:v>0.64583333333333171</c:v>
                </c:pt>
                <c:pt idx="691">
                  <c:v>0.64652777777777615</c:v>
                </c:pt>
                <c:pt idx="692">
                  <c:v>0.64722222222222059</c:v>
                </c:pt>
                <c:pt idx="693">
                  <c:v>0.64791666666666503</c:v>
                </c:pt>
                <c:pt idx="694">
                  <c:v>0.64861111111110947</c:v>
                </c:pt>
                <c:pt idx="695">
                  <c:v>0.64930555555555391</c:v>
                </c:pt>
                <c:pt idx="696">
                  <c:v>0.64999999999999836</c:v>
                </c:pt>
                <c:pt idx="697">
                  <c:v>0.6506944444444428</c:v>
                </c:pt>
                <c:pt idx="698">
                  <c:v>0.65138888888888724</c:v>
                </c:pt>
                <c:pt idx="699">
                  <c:v>0.65208333333333168</c:v>
                </c:pt>
                <c:pt idx="700">
                  <c:v>0.65277777777777612</c:v>
                </c:pt>
                <c:pt idx="701">
                  <c:v>0.65347222222222057</c:v>
                </c:pt>
                <c:pt idx="702">
                  <c:v>0.65416666666666501</c:v>
                </c:pt>
                <c:pt idx="703">
                  <c:v>0.65486111111110945</c:v>
                </c:pt>
                <c:pt idx="704">
                  <c:v>0.65555555555555389</c:v>
                </c:pt>
                <c:pt idx="705">
                  <c:v>0.65624999999999833</c:v>
                </c:pt>
                <c:pt idx="706">
                  <c:v>0.65694444444444278</c:v>
                </c:pt>
                <c:pt idx="707">
                  <c:v>0.65763888888888722</c:v>
                </c:pt>
                <c:pt idx="708">
                  <c:v>0.65833333333333166</c:v>
                </c:pt>
                <c:pt idx="709">
                  <c:v>0.6590277777777761</c:v>
                </c:pt>
                <c:pt idx="710">
                  <c:v>0.65972222222222054</c:v>
                </c:pt>
                <c:pt idx="711">
                  <c:v>0.66041666666666499</c:v>
                </c:pt>
                <c:pt idx="712">
                  <c:v>0.66111111111110943</c:v>
                </c:pt>
                <c:pt idx="713">
                  <c:v>0.66180555555555387</c:v>
                </c:pt>
                <c:pt idx="714">
                  <c:v>0.66249999999999831</c:v>
                </c:pt>
                <c:pt idx="715">
                  <c:v>0.66319444444444275</c:v>
                </c:pt>
                <c:pt idx="716">
                  <c:v>0.6638888888888872</c:v>
                </c:pt>
                <c:pt idx="717">
                  <c:v>0.66458333333333164</c:v>
                </c:pt>
                <c:pt idx="718">
                  <c:v>0.66527777777777608</c:v>
                </c:pt>
                <c:pt idx="719">
                  <c:v>0.66597222222222052</c:v>
                </c:pt>
                <c:pt idx="720">
                  <c:v>0.66666666666666496</c:v>
                </c:pt>
                <c:pt idx="721">
                  <c:v>0.66736111111110941</c:v>
                </c:pt>
                <c:pt idx="722">
                  <c:v>0.66805555555555385</c:v>
                </c:pt>
                <c:pt idx="723">
                  <c:v>0.66874999999999829</c:v>
                </c:pt>
                <c:pt idx="724">
                  <c:v>0.66944444444444273</c:v>
                </c:pt>
                <c:pt idx="725">
                  <c:v>0.67013888888888717</c:v>
                </c:pt>
                <c:pt idx="726">
                  <c:v>0.67083333333333162</c:v>
                </c:pt>
                <c:pt idx="727">
                  <c:v>0.67152777777777606</c:v>
                </c:pt>
                <c:pt idx="728">
                  <c:v>0.6722222222222205</c:v>
                </c:pt>
                <c:pt idx="729">
                  <c:v>0.67291666666666494</c:v>
                </c:pt>
                <c:pt idx="730">
                  <c:v>0.67361111111110938</c:v>
                </c:pt>
                <c:pt idx="731">
                  <c:v>0.67430555555555383</c:v>
                </c:pt>
                <c:pt idx="732">
                  <c:v>0.67499999999999827</c:v>
                </c:pt>
                <c:pt idx="733">
                  <c:v>0.67569444444444271</c:v>
                </c:pt>
                <c:pt idx="734">
                  <c:v>0.67638888888888715</c:v>
                </c:pt>
                <c:pt idx="735">
                  <c:v>0.67708333333333159</c:v>
                </c:pt>
                <c:pt idx="736">
                  <c:v>0.67777777777777604</c:v>
                </c:pt>
                <c:pt idx="737">
                  <c:v>0.67847222222222048</c:v>
                </c:pt>
                <c:pt idx="738">
                  <c:v>0.67916666666666492</c:v>
                </c:pt>
                <c:pt idx="739">
                  <c:v>0.67986111111110936</c:v>
                </c:pt>
                <c:pt idx="740">
                  <c:v>0.6805555555555538</c:v>
                </c:pt>
                <c:pt idx="741">
                  <c:v>0.68124999999999825</c:v>
                </c:pt>
                <c:pt idx="742">
                  <c:v>0.68194444444444269</c:v>
                </c:pt>
                <c:pt idx="743">
                  <c:v>0.68263888888888713</c:v>
                </c:pt>
                <c:pt idx="744">
                  <c:v>0.68333333333333157</c:v>
                </c:pt>
                <c:pt idx="745">
                  <c:v>0.68402777777777601</c:v>
                </c:pt>
                <c:pt idx="746">
                  <c:v>0.68472222222222046</c:v>
                </c:pt>
                <c:pt idx="747">
                  <c:v>0.6854166666666649</c:v>
                </c:pt>
                <c:pt idx="748">
                  <c:v>0.68611111111110934</c:v>
                </c:pt>
                <c:pt idx="749">
                  <c:v>0.68680555555555378</c:v>
                </c:pt>
                <c:pt idx="750">
                  <c:v>0.68749999999999822</c:v>
                </c:pt>
                <c:pt idx="751">
                  <c:v>0.68819444444444267</c:v>
                </c:pt>
                <c:pt idx="752">
                  <c:v>0.68888888888888711</c:v>
                </c:pt>
                <c:pt idx="753">
                  <c:v>0.68958333333333155</c:v>
                </c:pt>
                <c:pt idx="754">
                  <c:v>0.69027777777777599</c:v>
                </c:pt>
                <c:pt idx="755">
                  <c:v>0.69097222222222043</c:v>
                </c:pt>
                <c:pt idx="756">
                  <c:v>0.69166666666666488</c:v>
                </c:pt>
                <c:pt idx="757">
                  <c:v>0.69236111111110932</c:v>
                </c:pt>
                <c:pt idx="758">
                  <c:v>0.69305555555555376</c:v>
                </c:pt>
                <c:pt idx="759">
                  <c:v>0.6937499999999982</c:v>
                </c:pt>
                <c:pt idx="760">
                  <c:v>0.69444444444444264</c:v>
                </c:pt>
                <c:pt idx="761">
                  <c:v>0.69513888888888709</c:v>
                </c:pt>
                <c:pt idx="762">
                  <c:v>0.69583333333333153</c:v>
                </c:pt>
                <c:pt idx="763">
                  <c:v>0.69652777777777597</c:v>
                </c:pt>
                <c:pt idx="764">
                  <c:v>0.69722222222222041</c:v>
                </c:pt>
                <c:pt idx="765">
                  <c:v>0.69791666666666485</c:v>
                </c:pt>
                <c:pt idx="766">
                  <c:v>0.6986111111111093</c:v>
                </c:pt>
                <c:pt idx="767">
                  <c:v>0.69930555555555374</c:v>
                </c:pt>
                <c:pt idx="768">
                  <c:v>0.69999999999999818</c:v>
                </c:pt>
                <c:pt idx="769">
                  <c:v>0.70069444444444262</c:v>
                </c:pt>
                <c:pt idx="770">
                  <c:v>0.70138888888888706</c:v>
                </c:pt>
                <c:pt idx="771">
                  <c:v>0.70208333333333151</c:v>
                </c:pt>
                <c:pt idx="772">
                  <c:v>0.70277777777777595</c:v>
                </c:pt>
                <c:pt idx="773">
                  <c:v>0.70347222222222039</c:v>
                </c:pt>
                <c:pt idx="774">
                  <c:v>0.70416666666666483</c:v>
                </c:pt>
                <c:pt idx="775">
                  <c:v>0.70486111111110927</c:v>
                </c:pt>
                <c:pt idx="776">
                  <c:v>0.70555555555555372</c:v>
                </c:pt>
                <c:pt idx="777">
                  <c:v>0.70624999999999816</c:v>
                </c:pt>
                <c:pt idx="778">
                  <c:v>0.7069444444444426</c:v>
                </c:pt>
                <c:pt idx="779">
                  <c:v>0.70763888888888704</c:v>
                </c:pt>
                <c:pt idx="780">
                  <c:v>0.70833333333333148</c:v>
                </c:pt>
                <c:pt idx="781">
                  <c:v>0.70902777777777592</c:v>
                </c:pt>
                <c:pt idx="782">
                  <c:v>0.70972222222222037</c:v>
                </c:pt>
                <c:pt idx="783">
                  <c:v>0.71041666666666481</c:v>
                </c:pt>
                <c:pt idx="784">
                  <c:v>0.71111111111110925</c:v>
                </c:pt>
                <c:pt idx="785">
                  <c:v>0.71180555555555369</c:v>
                </c:pt>
                <c:pt idx="786">
                  <c:v>0.71249999999999813</c:v>
                </c:pt>
                <c:pt idx="787">
                  <c:v>0.71319444444444258</c:v>
                </c:pt>
                <c:pt idx="788">
                  <c:v>0.71388888888888702</c:v>
                </c:pt>
                <c:pt idx="789">
                  <c:v>0.71458333333333146</c:v>
                </c:pt>
                <c:pt idx="790">
                  <c:v>0.7152777777777759</c:v>
                </c:pt>
                <c:pt idx="791">
                  <c:v>0.71597222222222034</c:v>
                </c:pt>
                <c:pt idx="792">
                  <c:v>0.71666666666666479</c:v>
                </c:pt>
                <c:pt idx="793">
                  <c:v>0.71736111111110923</c:v>
                </c:pt>
                <c:pt idx="794">
                  <c:v>0.71805555555555367</c:v>
                </c:pt>
                <c:pt idx="795">
                  <c:v>0.71874999999999811</c:v>
                </c:pt>
                <c:pt idx="796">
                  <c:v>0.71944444444444255</c:v>
                </c:pt>
                <c:pt idx="797">
                  <c:v>0.720138888888887</c:v>
                </c:pt>
                <c:pt idx="798">
                  <c:v>0.72083333333333144</c:v>
                </c:pt>
                <c:pt idx="799">
                  <c:v>0.72152777777777588</c:v>
                </c:pt>
                <c:pt idx="800">
                  <c:v>0.72222222222222032</c:v>
                </c:pt>
                <c:pt idx="801">
                  <c:v>0.72291666666666476</c:v>
                </c:pt>
                <c:pt idx="802">
                  <c:v>0.72361111111110921</c:v>
                </c:pt>
                <c:pt idx="803">
                  <c:v>0.72430555555555365</c:v>
                </c:pt>
                <c:pt idx="804">
                  <c:v>0.72499999999999809</c:v>
                </c:pt>
                <c:pt idx="805">
                  <c:v>0.72569444444444253</c:v>
                </c:pt>
                <c:pt idx="806">
                  <c:v>0.72638888888888697</c:v>
                </c:pt>
                <c:pt idx="807">
                  <c:v>0.72708333333333142</c:v>
                </c:pt>
                <c:pt idx="808">
                  <c:v>0.72777777777777586</c:v>
                </c:pt>
                <c:pt idx="809">
                  <c:v>0.7284722222222203</c:v>
                </c:pt>
                <c:pt idx="810">
                  <c:v>0.72916666666666474</c:v>
                </c:pt>
                <c:pt idx="811">
                  <c:v>0.72986111111110918</c:v>
                </c:pt>
                <c:pt idx="812">
                  <c:v>0.73055555555555363</c:v>
                </c:pt>
                <c:pt idx="813">
                  <c:v>0.73124999999999807</c:v>
                </c:pt>
                <c:pt idx="814">
                  <c:v>0.73194444444444251</c:v>
                </c:pt>
                <c:pt idx="815">
                  <c:v>0.73263888888888695</c:v>
                </c:pt>
                <c:pt idx="816">
                  <c:v>0.73333333333333139</c:v>
                </c:pt>
                <c:pt idx="817">
                  <c:v>0.73402777777777584</c:v>
                </c:pt>
                <c:pt idx="818">
                  <c:v>0.73472222222222028</c:v>
                </c:pt>
                <c:pt idx="819">
                  <c:v>0.73541666666666472</c:v>
                </c:pt>
                <c:pt idx="820">
                  <c:v>0.73611111111110916</c:v>
                </c:pt>
                <c:pt idx="821">
                  <c:v>0.7368055555555536</c:v>
                </c:pt>
                <c:pt idx="822">
                  <c:v>0.73749999999999805</c:v>
                </c:pt>
                <c:pt idx="823">
                  <c:v>0.73819444444444249</c:v>
                </c:pt>
                <c:pt idx="824">
                  <c:v>0.73888888888888693</c:v>
                </c:pt>
                <c:pt idx="825">
                  <c:v>0.73958333333333137</c:v>
                </c:pt>
                <c:pt idx="826">
                  <c:v>0.74027777777777581</c:v>
                </c:pt>
                <c:pt idx="827">
                  <c:v>0.74097222222222026</c:v>
                </c:pt>
                <c:pt idx="828">
                  <c:v>0.7416666666666647</c:v>
                </c:pt>
                <c:pt idx="829">
                  <c:v>0.74236111111110914</c:v>
                </c:pt>
                <c:pt idx="830">
                  <c:v>0.74305555555555358</c:v>
                </c:pt>
                <c:pt idx="831">
                  <c:v>0.74374999999999802</c:v>
                </c:pt>
                <c:pt idx="832">
                  <c:v>0.74444444444444247</c:v>
                </c:pt>
                <c:pt idx="833">
                  <c:v>0.74513888888888691</c:v>
                </c:pt>
                <c:pt idx="834">
                  <c:v>0.74583333333333135</c:v>
                </c:pt>
                <c:pt idx="835">
                  <c:v>0.74652777777777579</c:v>
                </c:pt>
                <c:pt idx="836">
                  <c:v>0.74722222222222023</c:v>
                </c:pt>
                <c:pt idx="837">
                  <c:v>0.74791666666666468</c:v>
                </c:pt>
                <c:pt idx="838">
                  <c:v>0.74861111111110912</c:v>
                </c:pt>
                <c:pt idx="839">
                  <c:v>0.74930555555555356</c:v>
                </c:pt>
                <c:pt idx="840">
                  <c:v>0.749999999999998</c:v>
                </c:pt>
                <c:pt idx="841">
                  <c:v>0.75069444444444244</c:v>
                </c:pt>
                <c:pt idx="842">
                  <c:v>0.75138888888888689</c:v>
                </c:pt>
                <c:pt idx="843">
                  <c:v>0.75208333333333133</c:v>
                </c:pt>
                <c:pt idx="844">
                  <c:v>0.75277777777777577</c:v>
                </c:pt>
                <c:pt idx="845">
                  <c:v>0.75347222222222021</c:v>
                </c:pt>
                <c:pt idx="846">
                  <c:v>0.75416666666666465</c:v>
                </c:pt>
                <c:pt idx="847">
                  <c:v>0.7548611111111091</c:v>
                </c:pt>
                <c:pt idx="848">
                  <c:v>0.75555555555555354</c:v>
                </c:pt>
                <c:pt idx="849">
                  <c:v>0.75624999999999798</c:v>
                </c:pt>
                <c:pt idx="850">
                  <c:v>0.75694444444444242</c:v>
                </c:pt>
                <c:pt idx="851">
                  <c:v>0.75763888888888686</c:v>
                </c:pt>
                <c:pt idx="852">
                  <c:v>0.75833333333333131</c:v>
                </c:pt>
                <c:pt idx="853">
                  <c:v>0.75902777777777575</c:v>
                </c:pt>
                <c:pt idx="854">
                  <c:v>0.75972222222222019</c:v>
                </c:pt>
                <c:pt idx="855">
                  <c:v>0.76041666666666463</c:v>
                </c:pt>
                <c:pt idx="856">
                  <c:v>0.76111111111110907</c:v>
                </c:pt>
                <c:pt idx="857">
                  <c:v>0.76180555555555352</c:v>
                </c:pt>
                <c:pt idx="858">
                  <c:v>0.76249999999999796</c:v>
                </c:pt>
                <c:pt idx="859">
                  <c:v>0.7631944444444424</c:v>
                </c:pt>
                <c:pt idx="860">
                  <c:v>0.76388888888888684</c:v>
                </c:pt>
                <c:pt idx="861">
                  <c:v>0.76458333333333128</c:v>
                </c:pt>
                <c:pt idx="862">
                  <c:v>0.76527777777777573</c:v>
                </c:pt>
                <c:pt idx="863">
                  <c:v>0.76597222222222017</c:v>
                </c:pt>
                <c:pt idx="864">
                  <c:v>0.76666666666666461</c:v>
                </c:pt>
                <c:pt idx="865">
                  <c:v>0.76736111111110905</c:v>
                </c:pt>
                <c:pt idx="866">
                  <c:v>0.76805555555555349</c:v>
                </c:pt>
                <c:pt idx="867">
                  <c:v>0.76874999999999793</c:v>
                </c:pt>
                <c:pt idx="868">
                  <c:v>0.76944444444444238</c:v>
                </c:pt>
                <c:pt idx="869">
                  <c:v>0.77013888888888682</c:v>
                </c:pt>
                <c:pt idx="870">
                  <c:v>0.77083333333333126</c:v>
                </c:pt>
                <c:pt idx="871">
                  <c:v>0.7715277777777757</c:v>
                </c:pt>
                <c:pt idx="872">
                  <c:v>0.77222222222222014</c:v>
                </c:pt>
                <c:pt idx="873">
                  <c:v>0.77291666666666459</c:v>
                </c:pt>
                <c:pt idx="874">
                  <c:v>0.77361111111110903</c:v>
                </c:pt>
                <c:pt idx="875">
                  <c:v>0.77430555555555347</c:v>
                </c:pt>
                <c:pt idx="876">
                  <c:v>0.77499999999999791</c:v>
                </c:pt>
                <c:pt idx="877">
                  <c:v>0.77569444444444235</c:v>
                </c:pt>
                <c:pt idx="878">
                  <c:v>0.7763888888888868</c:v>
                </c:pt>
                <c:pt idx="879">
                  <c:v>0.77708333333333124</c:v>
                </c:pt>
                <c:pt idx="880">
                  <c:v>0.77777777777777568</c:v>
                </c:pt>
                <c:pt idx="881">
                  <c:v>0.77847222222222012</c:v>
                </c:pt>
                <c:pt idx="882">
                  <c:v>0.77916666666666456</c:v>
                </c:pt>
                <c:pt idx="883">
                  <c:v>0.77986111111110901</c:v>
                </c:pt>
                <c:pt idx="884">
                  <c:v>0.78055555555555345</c:v>
                </c:pt>
                <c:pt idx="885">
                  <c:v>0.78124999999999789</c:v>
                </c:pt>
                <c:pt idx="886">
                  <c:v>0.78194444444444233</c:v>
                </c:pt>
                <c:pt idx="887">
                  <c:v>0.78263888888888677</c:v>
                </c:pt>
                <c:pt idx="888">
                  <c:v>0.78333333333333122</c:v>
                </c:pt>
                <c:pt idx="889">
                  <c:v>0.78402777777777566</c:v>
                </c:pt>
                <c:pt idx="890">
                  <c:v>0.7847222222222201</c:v>
                </c:pt>
                <c:pt idx="891">
                  <c:v>0.78541666666666454</c:v>
                </c:pt>
                <c:pt idx="892">
                  <c:v>0.78611111111110898</c:v>
                </c:pt>
                <c:pt idx="893">
                  <c:v>0.78680555555555343</c:v>
                </c:pt>
                <c:pt idx="894">
                  <c:v>0.78749999999999787</c:v>
                </c:pt>
                <c:pt idx="895">
                  <c:v>0.78819444444444231</c:v>
                </c:pt>
                <c:pt idx="896">
                  <c:v>0.78888888888888675</c:v>
                </c:pt>
                <c:pt idx="897">
                  <c:v>0.78958333333333119</c:v>
                </c:pt>
                <c:pt idx="898">
                  <c:v>0.79027777777777564</c:v>
                </c:pt>
                <c:pt idx="899">
                  <c:v>0.79097222222222008</c:v>
                </c:pt>
                <c:pt idx="900">
                  <c:v>0.79166666666666452</c:v>
                </c:pt>
                <c:pt idx="901">
                  <c:v>0.79236111111110896</c:v>
                </c:pt>
                <c:pt idx="902">
                  <c:v>0.7930555555555534</c:v>
                </c:pt>
                <c:pt idx="903">
                  <c:v>0.79374999999999785</c:v>
                </c:pt>
                <c:pt idx="904">
                  <c:v>0.79444444444444229</c:v>
                </c:pt>
                <c:pt idx="905">
                  <c:v>0.79513888888888673</c:v>
                </c:pt>
                <c:pt idx="906">
                  <c:v>0.79583333333333117</c:v>
                </c:pt>
                <c:pt idx="907">
                  <c:v>0.79652777777777561</c:v>
                </c:pt>
                <c:pt idx="908">
                  <c:v>0.79722222222222006</c:v>
                </c:pt>
                <c:pt idx="909">
                  <c:v>0.7979166666666645</c:v>
                </c:pt>
                <c:pt idx="910">
                  <c:v>0.79861111111110894</c:v>
                </c:pt>
                <c:pt idx="911">
                  <c:v>0.79930555555555338</c:v>
                </c:pt>
                <c:pt idx="912">
                  <c:v>0.79999999999999782</c:v>
                </c:pt>
                <c:pt idx="913">
                  <c:v>0.80069444444444227</c:v>
                </c:pt>
                <c:pt idx="914">
                  <c:v>0.80138888888888671</c:v>
                </c:pt>
                <c:pt idx="915">
                  <c:v>0.80208333333333115</c:v>
                </c:pt>
                <c:pt idx="916">
                  <c:v>0.80277777777777559</c:v>
                </c:pt>
                <c:pt idx="917">
                  <c:v>0.80347222222222003</c:v>
                </c:pt>
                <c:pt idx="918">
                  <c:v>0.80416666666666448</c:v>
                </c:pt>
                <c:pt idx="919">
                  <c:v>0.80486111111110892</c:v>
                </c:pt>
                <c:pt idx="920">
                  <c:v>0.80555555555555336</c:v>
                </c:pt>
                <c:pt idx="921">
                  <c:v>0.8062499999999978</c:v>
                </c:pt>
                <c:pt idx="922">
                  <c:v>0.80694444444444224</c:v>
                </c:pt>
                <c:pt idx="923">
                  <c:v>0.80763888888888669</c:v>
                </c:pt>
                <c:pt idx="924">
                  <c:v>0.80833333333333113</c:v>
                </c:pt>
                <c:pt idx="925">
                  <c:v>0.80902777777777557</c:v>
                </c:pt>
                <c:pt idx="926">
                  <c:v>0.80972222222222001</c:v>
                </c:pt>
                <c:pt idx="927">
                  <c:v>0.81041666666666445</c:v>
                </c:pt>
                <c:pt idx="928">
                  <c:v>0.8111111111111089</c:v>
                </c:pt>
                <c:pt idx="929">
                  <c:v>0.81180555555555334</c:v>
                </c:pt>
                <c:pt idx="930">
                  <c:v>0.81249999999999778</c:v>
                </c:pt>
                <c:pt idx="931">
                  <c:v>0.81319444444444222</c:v>
                </c:pt>
                <c:pt idx="932">
                  <c:v>0.81388888888888666</c:v>
                </c:pt>
                <c:pt idx="933">
                  <c:v>0.81458333333333111</c:v>
                </c:pt>
                <c:pt idx="934">
                  <c:v>0.81527777777777555</c:v>
                </c:pt>
                <c:pt idx="935">
                  <c:v>0.81597222222221999</c:v>
                </c:pt>
                <c:pt idx="936">
                  <c:v>0.81666666666666443</c:v>
                </c:pt>
                <c:pt idx="937">
                  <c:v>0.81736111111110887</c:v>
                </c:pt>
                <c:pt idx="938">
                  <c:v>0.81805555555555332</c:v>
                </c:pt>
                <c:pt idx="939">
                  <c:v>0.81874999999999776</c:v>
                </c:pt>
                <c:pt idx="940">
                  <c:v>0.8194444444444422</c:v>
                </c:pt>
                <c:pt idx="941">
                  <c:v>0.82013888888888664</c:v>
                </c:pt>
                <c:pt idx="942">
                  <c:v>0.82083333333333108</c:v>
                </c:pt>
                <c:pt idx="943">
                  <c:v>0.82152777777777553</c:v>
                </c:pt>
                <c:pt idx="944">
                  <c:v>0.82222222222221997</c:v>
                </c:pt>
                <c:pt idx="945">
                  <c:v>0.82291666666666441</c:v>
                </c:pt>
                <c:pt idx="946">
                  <c:v>0.82361111111110885</c:v>
                </c:pt>
                <c:pt idx="947">
                  <c:v>0.82430555555555329</c:v>
                </c:pt>
                <c:pt idx="948">
                  <c:v>0.82499999999999774</c:v>
                </c:pt>
                <c:pt idx="949">
                  <c:v>0.82569444444444218</c:v>
                </c:pt>
                <c:pt idx="950">
                  <c:v>0.82638888888888662</c:v>
                </c:pt>
                <c:pt idx="951">
                  <c:v>0.82708333333333106</c:v>
                </c:pt>
                <c:pt idx="952">
                  <c:v>0.8277777777777755</c:v>
                </c:pt>
                <c:pt idx="953">
                  <c:v>0.82847222222221995</c:v>
                </c:pt>
                <c:pt idx="954">
                  <c:v>0.82916666666666439</c:v>
                </c:pt>
                <c:pt idx="955">
                  <c:v>0.82986111111110883</c:v>
                </c:pt>
                <c:pt idx="956">
                  <c:v>0.83055555555555327</c:v>
                </c:pt>
                <c:pt idx="957">
                  <c:v>0.83124999999999771</c:v>
                </c:pt>
                <c:pt idx="958">
                  <c:v>0.83194444444444215</c:v>
                </c:pt>
                <c:pt idx="959">
                  <c:v>0.8326388888888866</c:v>
                </c:pt>
                <c:pt idx="960">
                  <c:v>0.83333333333333104</c:v>
                </c:pt>
                <c:pt idx="961">
                  <c:v>0.83402777777777548</c:v>
                </c:pt>
                <c:pt idx="962">
                  <c:v>0.83472222222221992</c:v>
                </c:pt>
                <c:pt idx="963">
                  <c:v>0.83541666666666436</c:v>
                </c:pt>
                <c:pt idx="964">
                  <c:v>0.83611111111110881</c:v>
                </c:pt>
                <c:pt idx="965">
                  <c:v>0.83680555555555325</c:v>
                </c:pt>
                <c:pt idx="966">
                  <c:v>0.83749999999999769</c:v>
                </c:pt>
                <c:pt idx="967">
                  <c:v>0.83819444444444213</c:v>
                </c:pt>
                <c:pt idx="968">
                  <c:v>0.83888888888888657</c:v>
                </c:pt>
                <c:pt idx="969">
                  <c:v>0.83958333333333102</c:v>
                </c:pt>
                <c:pt idx="970">
                  <c:v>0.84027777777777546</c:v>
                </c:pt>
                <c:pt idx="971">
                  <c:v>0.8409722222222199</c:v>
                </c:pt>
                <c:pt idx="972">
                  <c:v>0.84166666666666434</c:v>
                </c:pt>
                <c:pt idx="973">
                  <c:v>0.84236111111110878</c:v>
                </c:pt>
                <c:pt idx="974">
                  <c:v>0.84305555555555323</c:v>
                </c:pt>
                <c:pt idx="975">
                  <c:v>0.84374999999999767</c:v>
                </c:pt>
                <c:pt idx="976">
                  <c:v>0.84444444444444211</c:v>
                </c:pt>
                <c:pt idx="977">
                  <c:v>0.84513888888888655</c:v>
                </c:pt>
                <c:pt idx="978">
                  <c:v>0.84583333333333099</c:v>
                </c:pt>
                <c:pt idx="979">
                  <c:v>0.84652777777777544</c:v>
                </c:pt>
                <c:pt idx="980">
                  <c:v>0.84722222222221988</c:v>
                </c:pt>
                <c:pt idx="981">
                  <c:v>0.84791666666666432</c:v>
                </c:pt>
                <c:pt idx="982">
                  <c:v>0.84861111111110876</c:v>
                </c:pt>
                <c:pt idx="983">
                  <c:v>0.8493055555555532</c:v>
                </c:pt>
                <c:pt idx="984">
                  <c:v>0.84999999999999765</c:v>
                </c:pt>
                <c:pt idx="985">
                  <c:v>0.85069444444444209</c:v>
                </c:pt>
                <c:pt idx="986">
                  <c:v>0.85138888888888653</c:v>
                </c:pt>
                <c:pt idx="987">
                  <c:v>0.85208333333333097</c:v>
                </c:pt>
                <c:pt idx="988">
                  <c:v>0.85277777777777541</c:v>
                </c:pt>
                <c:pt idx="989">
                  <c:v>0.85347222222221986</c:v>
                </c:pt>
                <c:pt idx="990">
                  <c:v>0.8541666666666643</c:v>
                </c:pt>
                <c:pt idx="991">
                  <c:v>0.85486111111110874</c:v>
                </c:pt>
                <c:pt idx="992">
                  <c:v>0.85555555555555318</c:v>
                </c:pt>
                <c:pt idx="993">
                  <c:v>0.85624999999999762</c:v>
                </c:pt>
                <c:pt idx="994">
                  <c:v>0.85694444444444207</c:v>
                </c:pt>
                <c:pt idx="995">
                  <c:v>0.85763888888888651</c:v>
                </c:pt>
                <c:pt idx="996">
                  <c:v>0.85833333333333095</c:v>
                </c:pt>
                <c:pt idx="997">
                  <c:v>0.85902777777777539</c:v>
                </c:pt>
                <c:pt idx="998">
                  <c:v>0.85972222222221983</c:v>
                </c:pt>
                <c:pt idx="999">
                  <c:v>0.86041666666666428</c:v>
                </c:pt>
                <c:pt idx="1000">
                  <c:v>0.86111111111110872</c:v>
                </c:pt>
                <c:pt idx="1001">
                  <c:v>0.86180555555555316</c:v>
                </c:pt>
                <c:pt idx="1002">
                  <c:v>0.8624999999999976</c:v>
                </c:pt>
                <c:pt idx="1003">
                  <c:v>0.86319444444444204</c:v>
                </c:pt>
                <c:pt idx="1004">
                  <c:v>0.86388888888888649</c:v>
                </c:pt>
                <c:pt idx="1005">
                  <c:v>0.86458333333333093</c:v>
                </c:pt>
                <c:pt idx="1006">
                  <c:v>0.86527777777777537</c:v>
                </c:pt>
                <c:pt idx="1007">
                  <c:v>0.86597222222221981</c:v>
                </c:pt>
                <c:pt idx="1008">
                  <c:v>0.86666666666666425</c:v>
                </c:pt>
                <c:pt idx="1009">
                  <c:v>0.8673611111111087</c:v>
                </c:pt>
                <c:pt idx="1010">
                  <c:v>0.86805555555555314</c:v>
                </c:pt>
                <c:pt idx="1011">
                  <c:v>0.86874999999999758</c:v>
                </c:pt>
                <c:pt idx="1012">
                  <c:v>0.86944444444444202</c:v>
                </c:pt>
                <c:pt idx="1013">
                  <c:v>0.87013888888888646</c:v>
                </c:pt>
                <c:pt idx="1014">
                  <c:v>0.87083333333333091</c:v>
                </c:pt>
                <c:pt idx="1015">
                  <c:v>0.87152777777777535</c:v>
                </c:pt>
                <c:pt idx="1016">
                  <c:v>0.87222222222221979</c:v>
                </c:pt>
                <c:pt idx="1017">
                  <c:v>0.87291666666666423</c:v>
                </c:pt>
                <c:pt idx="1018">
                  <c:v>0.87361111111110867</c:v>
                </c:pt>
                <c:pt idx="1019">
                  <c:v>0.87430555555555312</c:v>
                </c:pt>
                <c:pt idx="1020">
                  <c:v>0.87499999999999756</c:v>
                </c:pt>
                <c:pt idx="1021">
                  <c:v>0.875694444444442</c:v>
                </c:pt>
                <c:pt idx="1022">
                  <c:v>0.87638888888888644</c:v>
                </c:pt>
                <c:pt idx="1023">
                  <c:v>0.87708333333333088</c:v>
                </c:pt>
                <c:pt idx="1024">
                  <c:v>0.87777777777777533</c:v>
                </c:pt>
                <c:pt idx="1025">
                  <c:v>0.87847222222221977</c:v>
                </c:pt>
                <c:pt idx="1026">
                  <c:v>0.87916666666666421</c:v>
                </c:pt>
                <c:pt idx="1027">
                  <c:v>0.87986111111110865</c:v>
                </c:pt>
                <c:pt idx="1028">
                  <c:v>0.88055555555555309</c:v>
                </c:pt>
                <c:pt idx="1029">
                  <c:v>0.88124999999999754</c:v>
                </c:pt>
                <c:pt idx="1030">
                  <c:v>0.88194444444444198</c:v>
                </c:pt>
                <c:pt idx="1031">
                  <c:v>0.88263888888888642</c:v>
                </c:pt>
                <c:pt idx="1032">
                  <c:v>0.88333333333333086</c:v>
                </c:pt>
                <c:pt idx="1033">
                  <c:v>0.8840277777777753</c:v>
                </c:pt>
                <c:pt idx="1034">
                  <c:v>0.88472222222221975</c:v>
                </c:pt>
                <c:pt idx="1035">
                  <c:v>0.88541666666666419</c:v>
                </c:pt>
                <c:pt idx="1036">
                  <c:v>0.88611111111110863</c:v>
                </c:pt>
                <c:pt idx="1037">
                  <c:v>0.88680555555555307</c:v>
                </c:pt>
                <c:pt idx="1038">
                  <c:v>0.88749999999999751</c:v>
                </c:pt>
                <c:pt idx="1039">
                  <c:v>0.88819444444444196</c:v>
                </c:pt>
                <c:pt idx="1040">
                  <c:v>0.8888888888888864</c:v>
                </c:pt>
                <c:pt idx="1041">
                  <c:v>0.88958333333333084</c:v>
                </c:pt>
                <c:pt idx="1042">
                  <c:v>0.89027777777777528</c:v>
                </c:pt>
                <c:pt idx="1043">
                  <c:v>0.89097222222221972</c:v>
                </c:pt>
                <c:pt idx="1044">
                  <c:v>0.89166666666666416</c:v>
                </c:pt>
                <c:pt idx="1045">
                  <c:v>0.89236111111110861</c:v>
                </c:pt>
                <c:pt idx="1046">
                  <c:v>0.89305555555555305</c:v>
                </c:pt>
                <c:pt idx="1047">
                  <c:v>0.89374999999999749</c:v>
                </c:pt>
                <c:pt idx="1048">
                  <c:v>0.89444444444444193</c:v>
                </c:pt>
                <c:pt idx="1049">
                  <c:v>0.89513888888888637</c:v>
                </c:pt>
                <c:pt idx="1050">
                  <c:v>0.89583333333333082</c:v>
                </c:pt>
                <c:pt idx="1051">
                  <c:v>0.89652777777777526</c:v>
                </c:pt>
                <c:pt idx="1052">
                  <c:v>0.8972222222222197</c:v>
                </c:pt>
                <c:pt idx="1053">
                  <c:v>0.89791666666666414</c:v>
                </c:pt>
                <c:pt idx="1054">
                  <c:v>0.89861111111110858</c:v>
                </c:pt>
                <c:pt idx="1055">
                  <c:v>0.89930555555555303</c:v>
                </c:pt>
                <c:pt idx="1056">
                  <c:v>0.89999999999999747</c:v>
                </c:pt>
                <c:pt idx="1057">
                  <c:v>0.90069444444444191</c:v>
                </c:pt>
                <c:pt idx="1058">
                  <c:v>0.90138888888888635</c:v>
                </c:pt>
                <c:pt idx="1059">
                  <c:v>0.90208333333333079</c:v>
                </c:pt>
                <c:pt idx="1060">
                  <c:v>0.90277777777777524</c:v>
                </c:pt>
                <c:pt idx="1061">
                  <c:v>0.90347222222221968</c:v>
                </c:pt>
                <c:pt idx="1062">
                  <c:v>0.90416666666666412</c:v>
                </c:pt>
                <c:pt idx="1063">
                  <c:v>0.90486111111110856</c:v>
                </c:pt>
                <c:pt idx="1064">
                  <c:v>0.905555555555553</c:v>
                </c:pt>
                <c:pt idx="1065">
                  <c:v>0.90624999999999745</c:v>
                </c:pt>
                <c:pt idx="1066">
                  <c:v>0.90694444444444189</c:v>
                </c:pt>
                <c:pt idx="1067">
                  <c:v>0.90763888888888633</c:v>
                </c:pt>
                <c:pt idx="1068">
                  <c:v>0.90833333333333077</c:v>
                </c:pt>
                <c:pt idx="1069">
                  <c:v>0.90902777777777521</c:v>
                </c:pt>
                <c:pt idx="1070">
                  <c:v>0.90972222222221966</c:v>
                </c:pt>
                <c:pt idx="1071">
                  <c:v>0.9104166666666641</c:v>
                </c:pt>
                <c:pt idx="1072">
                  <c:v>0.91111111111110854</c:v>
                </c:pt>
                <c:pt idx="1073">
                  <c:v>0.91180555555555298</c:v>
                </c:pt>
                <c:pt idx="1074">
                  <c:v>0.91249999999999742</c:v>
                </c:pt>
                <c:pt idx="1075">
                  <c:v>0.91319444444444187</c:v>
                </c:pt>
                <c:pt idx="1076">
                  <c:v>0.91388888888888631</c:v>
                </c:pt>
                <c:pt idx="1077">
                  <c:v>0.91458333333333075</c:v>
                </c:pt>
                <c:pt idx="1078">
                  <c:v>0.91527777777777519</c:v>
                </c:pt>
                <c:pt idx="1079">
                  <c:v>0.91597222222221963</c:v>
                </c:pt>
                <c:pt idx="1080">
                  <c:v>0.91666666666666408</c:v>
                </c:pt>
                <c:pt idx="1081">
                  <c:v>0.91736111111110852</c:v>
                </c:pt>
                <c:pt idx="1082">
                  <c:v>0.91805555555555296</c:v>
                </c:pt>
                <c:pt idx="1083">
                  <c:v>0.9187499999999974</c:v>
                </c:pt>
                <c:pt idx="1084">
                  <c:v>0.91944444444444184</c:v>
                </c:pt>
                <c:pt idx="1085">
                  <c:v>0.92013888888888629</c:v>
                </c:pt>
                <c:pt idx="1086">
                  <c:v>0.92083333333333073</c:v>
                </c:pt>
                <c:pt idx="1087">
                  <c:v>0.92152777777777517</c:v>
                </c:pt>
                <c:pt idx="1088">
                  <c:v>0.92222222222221961</c:v>
                </c:pt>
                <c:pt idx="1089">
                  <c:v>0.92291666666666405</c:v>
                </c:pt>
                <c:pt idx="1090">
                  <c:v>0.9236111111111085</c:v>
                </c:pt>
                <c:pt idx="1091">
                  <c:v>0.92430555555555294</c:v>
                </c:pt>
                <c:pt idx="1092">
                  <c:v>0.92499999999999738</c:v>
                </c:pt>
                <c:pt idx="1093">
                  <c:v>0.92569444444444182</c:v>
                </c:pt>
                <c:pt idx="1094">
                  <c:v>0.92638888888888626</c:v>
                </c:pt>
                <c:pt idx="1095">
                  <c:v>0.92708333333333071</c:v>
                </c:pt>
                <c:pt idx="1096">
                  <c:v>0.92777777777777515</c:v>
                </c:pt>
                <c:pt idx="1097">
                  <c:v>0.92847222222221959</c:v>
                </c:pt>
                <c:pt idx="1098">
                  <c:v>0.92916666666666403</c:v>
                </c:pt>
                <c:pt idx="1099">
                  <c:v>0.92986111111110847</c:v>
                </c:pt>
                <c:pt idx="1100">
                  <c:v>0.93055555555555292</c:v>
                </c:pt>
                <c:pt idx="1101">
                  <c:v>0.93124999999999736</c:v>
                </c:pt>
                <c:pt idx="1102">
                  <c:v>0.9319444444444418</c:v>
                </c:pt>
                <c:pt idx="1103">
                  <c:v>0.93263888888888624</c:v>
                </c:pt>
                <c:pt idx="1104">
                  <c:v>0.93333333333333068</c:v>
                </c:pt>
                <c:pt idx="1105">
                  <c:v>0.93402777777777513</c:v>
                </c:pt>
                <c:pt idx="1106">
                  <c:v>0.93472222222221957</c:v>
                </c:pt>
                <c:pt idx="1107">
                  <c:v>0.93541666666666401</c:v>
                </c:pt>
                <c:pt idx="1108">
                  <c:v>0.93611111111110845</c:v>
                </c:pt>
                <c:pt idx="1109">
                  <c:v>0.93680555555555289</c:v>
                </c:pt>
                <c:pt idx="1110">
                  <c:v>0.93749999999999734</c:v>
                </c:pt>
                <c:pt idx="1111">
                  <c:v>0.93819444444444178</c:v>
                </c:pt>
                <c:pt idx="1112">
                  <c:v>0.93888888888888622</c:v>
                </c:pt>
                <c:pt idx="1113">
                  <c:v>0.93958333333333066</c:v>
                </c:pt>
                <c:pt idx="1114">
                  <c:v>0.9402777777777751</c:v>
                </c:pt>
                <c:pt idx="1115">
                  <c:v>0.94097222222221955</c:v>
                </c:pt>
                <c:pt idx="1116">
                  <c:v>0.94166666666666399</c:v>
                </c:pt>
                <c:pt idx="1117">
                  <c:v>0.94236111111110843</c:v>
                </c:pt>
                <c:pt idx="1118">
                  <c:v>0.94305555555555287</c:v>
                </c:pt>
                <c:pt idx="1119">
                  <c:v>0.94374999999999731</c:v>
                </c:pt>
                <c:pt idx="1120">
                  <c:v>0.94444444444444176</c:v>
                </c:pt>
                <c:pt idx="1121">
                  <c:v>0.9451388888888862</c:v>
                </c:pt>
                <c:pt idx="1122">
                  <c:v>0.94583333333333064</c:v>
                </c:pt>
                <c:pt idx="1123">
                  <c:v>0.94652777777777508</c:v>
                </c:pt>
                <c:pt idx="1124">
                  <c:v>0.94722222222221952</c:v>
                </c:pt>
                <c:pt idx="1125">
                  <c:v>0.94791666666666397</c:v>
                </c:pt>
                <c:pt idx="1126">
                  <c:v>0.94861111111110841</c:v>
                </c:pt>
                <c:pt idx="1127">
                  <c:v>0.94930555555555285</c:v>
                </c:pt>
                <c:pt idx="1128">
                  <c:v>0.94999999999999729</c:v>
                </c:pt>
                <c:pt idx="1129">
                  <c:v>0.95069444444444173</c:v>
                </c:pt>
                <c:pt idx="1130">
                  <c:v>0.95138888888888618</c:v>
                </c:pt>
                <c:pt idx="1131">
                  <c:v>0.95208333333333062</c:v>
                </c:pt>
                <c:pt idx="1132">
                  <c:v>0.95277777777777506</c:v>
                </c:pt>
                <c:pt idx="1133">
                  <c:v>0.9534722222222195</c:v>
                </c:pt>
                <c:pt idx="1134">
                  <c:v>0.95416666666666394</c:v>
                </c:pt>
                <c:pt idx="1135">
                  <c:v>0.95486111111110838</c:v>
                </c:pt>
                <c:pt idx="1136">
                  <c:v>0.95555555555555283</c:v>
                </c:pt>
                <c:pt idx="1137">
                  <c:v>0.95624999999999727</c:v>
                </c:pt>
                <c:pt idx="1138">
                  <c:v>0.95694444444444171</c:v>
                </c:pt>
                <c:pt idx="1139">
                  <c:v>0.95763888888888615</c:v>
                </c:pt>
                <c:pt idx="1140">
                  <c:v>0.95833333333333059</c:v>
                </c:pt>
                <c:pt idx="1141">
                  <c:v>0.95902777777777504</c:v>
                </c:pt>
                <c:pt idx="1142">
                  <c:v>0.95972222222221948</c:v>
                </c:pt>
                <c:pt idx="1143">
                  <c:v>0.96041666666666392</c:v>
                </c:pt>
                <c:pt idx="1144">
                  <c:v>0.96111111111110836</c:v>
                </c:pt>
                <c:pt idx="1145">
                  <c:v>0.9618055555555528</c:v>
                </c:pt>
                <c:pt idx="1146">
                  <c:v>0.96249999999999725</c:v>
                </c:pt>
                <c:pt idx="1147">
                  <c:v>0.96319444444444169</c:v>
                </c:pt>
                <c:pt idx="1148">
                  <c:v>0.96388888888888613</c:v>
                </c:pt>
                <c:pt idx="1149">
                  <c:v>0.96458333333333057</c:v>
                </c:pt>
                <c:pt idx="1150">
                  <c:v>0.96527777777777501</c:v>
                </c:pt>
                <c:pt idx="1151">
                  <c:v>0.96597222222221946</c:v>
                </c:pt>
                <c:pt idx="1152">
                  <c:v>0.9666666666666639</c:v>
                </c:pt>
                <c:pt idx="1153">
                  <c:v>0.96736111111110834</c:v>
                </c:pt>
                <c:pt idx="1154">
                  <c:v>0.96805555555555278</c:v>
                </c:pt>
                <c:pt idx="1155">
                  <c:v>0.96874999999999722</c:v>
                </c:pt>
                <c:pt idx="1156">
                  <c:v>0.96944444444444167</c:v>
                </c:pt>
                <c:pt idx="1157">
                  <c:v>0.97013888888888611</c:v>
                </c:pt>
                <c:pt idx="1158">
                  <c:v>0.97083333333333055</c:v>
                </c:pt>
                <c:pt idx="1159">
                  <c:v>0.97152777777777499</c:v>
                </c:pt>
                <c:pt idx="1160">
                  <c:v>0.97222222222221943</c:v>
                </c:pt>
                <c:pt idx="1161">
                  <c:v>0.97291666666666388</c:v>
                </c:pt>
                <c:pt idx="1162">
                  <c:v>0.97361111111110832</c:v>
                </c:pt>
                <c:pt idx="1163">
                  <c:v>0.97430555555555276</c:v>
                </c:pt>
                <c:pt idx="1164">
                  <c:v>0.9749999999999972</c:v>
                </c:pt>
                <c:pt idx="1165">
                  <c:v>0.97569444444444164</c:v>
                </c:pt>
                <c:pt idx="1166">
                  <c:v>0.97638888888888609</c:v>
                </c:pt>
                <c:pt idx="1167">
                  <c:v>0.97708333333333053</c:v>
                </c:pt>
                <c:pt idx="1168">
                  <c:v>0.97777777777777497</c:v>
                </c:pt>
                <c:pt idx="1169">
                  <c:v>0.97847222222221941</c:v>
                </c:pt>
                <c:pt idx="1170">
                  <c:v>0.97916666666666385</c:v>
                </c:pt>
                <c:pt idx="1171">
                  <c:v>0.9798611111111083</c:v>
                </c:pt>
                <c:pt idx="1172">
                  <c:v>0.98055555555555274</c:v>
                </c:pt>
                <c:pt idx="1173">
                  <c:v>0.98124999999999718</c:v>
                </c:pt>
                <c:pt idx="1174">
                  <c:v>0.98194444444444162</c:v>
                </c:pt>
                <c:pt idx="1175">
                  <c:v>0.98263888888888606</c:v>
                </c:pt>
                <c:pt idx="1176">
                  <c:v>0.98333333333333051</c:v>
                </c:pt>
                <c:pt idx="1177">
                  <c:v>0.98402777777777495</c:v>
                </c:pt>
                <c:pt idx="1178">
                  <c:v>0.98472222222221939</c:v>
                </c:pt>
                <c:pt idx="1179">
                  <c:v>0.98541666666666383</c:v>
                </c:pt>
                <c:pt idx="1180">
                  <c:v>0.98611111111110827</c:v>
                </c:pt>
                <c:pt idx="1181">
                  <c:v>0.98680555555555272</c:v>
                </c:pt>
                <c:pt idx="1182">
                  <c:v>0.98749999999999716</c:v>
                </c:pt>
                <c:pt idx="1183">
                  <c:v>0.9881944444444416</c:v>
                </c:pt>
                <c:pt idx="1184">
                  <c:v>0.98888888888888604</c:v>
                </c:pt>
                <c:pt idx="1185">
                  <c:v>0.98958333333333048</c:v>
                </c:pt>
                <c:pt idx="1186">
                  <c:v>0.99027777777777493</c:v>
                </c:pt>
                <c:pt idx="1187">
                  <c:v>0.99097222222221937</c:v>
                </c:pt>
                <c:pt idx="1188">
                  <c:v>0.99166666666666381</c:v>
                </c:pt>
                <c:pt idx="1189">
                  <c:v>0.99236111111110825</c:v>
                </c:pt>
                <c:pt idx="1190">
                  <c:v>0.99305555555555269</c:v>
                </c:pt>
                <c:pt idx="1191">
                  <c:v>0.99374999999999714</c:v>
                </c:pt>
                <c:pt idx="1192">
                  <c:v>0.99444444444444158</c:v>
                </c:pt>
                <c:pt idx="1193">
                  <c:v>0.99513888888888602</c:v>
                </c:pt>
                <c:pt idx="1194">
                  <c:v>0.99583333333333046</c:v>
                </c:pt>
                <c:pt idx="1195">
                  <c:v>0.9965277777777749</c:v>
                </c:pt>
                <c:pt idx="1196">
                  <c:v>0.99722222222221935</c:v>
                </c:pt>
                <c:pt idx="1197">
                  <c:v>0.99791666666666379</c:v>
                </c:pt>
                <c:pt idx="1198">
                  <c:v>0.99861111111110823</c:v>
                </c:pt>
                <c:pt idx="1199">
                  <c:v>0.99930555555555267</c:v>
                </c:pt>
                <c:pt idx="1200">
                  <c:v>0.99999999999999711</c:v>
                </c:pt>
                <c:pt idx="1201">
                  <c:v>1.0006944444444417</c:v>
                </c:pt>
                <c:pt idx="1202">
                  <c:v>1.0013888888888862</c:v>
                </c:pt>
                <c:pt idx="1203">
                  <c:v>1.0020833333333308</c:v>
                </c:pt>
                <c:pt idx="1204">
                  <c:v>1.0027777777777753</c:v>
                </c:pt>
                <c:pt idx="1205">
                  <c:v>1.0034722222222199</c:v>
                </c:pt>
                <c:pt idx="1206">
                  <c:v>1.0041666666666644</c:v>
                </c:pt>
                <c:pt idx="1207">
                  <c:v>1.004861111111109</c:v>
                </c:pt>
                <c:pt idx="1208">
                  <c:v>1.0055555555555535</c:v>
                </c:pt>
                <c:pt idx="1209">
                  <c:v>1.0062499999999981</c:v>
                </c:pt>
                <c:pt idx="1210">
                  <c:v>1.0069444444444426</c:v>
                </c:pt>
                <c:pt idx="1211">
                  <c:v>1.0076388888888872</c:v>
                </c:pt>
                <c:pt idx="1212">
                  <c:v>1.0083333333333317</c:v>
                </c:pt>
                <c:pt idx="1213">
                  <c:v>1.0090277777777763</c:v>
                </c:pt>
                <c:pt idx="1214">
                  <c:v>1.0097222222222209</c:v>
                </c:pt>
                <c:pt idx="1215">
                  <c:v>1.0104166666666654</c:v>
                </c:pt>
                <c:pt idx="1216">
                  <c:v>1.01111111111111</c:v>
                </c:pt>
                <c:pt idx="1217">
                  <c:v>1.0118055555555545</c:v>
                </c:pt>
                <c:pt idx="1218">
                  <c:v>1.0124999999999991</c:v>
                </c:pt>
                <c:pt idx="1219">
                  <c:v>1.0131944444444436</c:v>
                </c:pt>
                <c:pt idx="1220">
                  <c:v>1.0138888888888882</c:v>
                </c:pt>
                <c:pt idx="1221">
                  <c:v>1.0145833333333327</c:v>
                </c:pt>
                <c:pt idx="1222">
                  <c:v>1.0152777777777773</c:v>
                </c:pt>
                <c:pt idx="1223">
                  <c:v>1.0159722222222218</c:v>
                </c:pt>
                <c:pt idx="1224">
                  <c:v>1.0166666666666664</c:v>
                </c:pt>
                <c:pt idx="1225">
                  <c:v>1.0173611111111109</c:v>
                </c:pt>
                <c:pt idx="1226">
                  <c:v>1.0180555555555555</c:v>
                </c:pt>
                <c:pt idx="1227">
                  <c:v>1.01875</c:v>
                </c:pt>
                <c:pt idx="1228">
                  <c:v>1.0194444444444446</c:v>
                </c:pt>
                <c:pt idx="1229">
                  <c:v>1.0201388888888892</c:v>
                </c:pt>
                <c:pt idx="1230">
                  <c:v>1.0208333333333337</c:v>
                </c:pt>
                <c:pt idx="1231">
                  <c:v>1.0215277777777783</c:v>
                </c:pt>
                <c:pt idx="1232">
                  <c:v>1.0222222222222228</c:v>
                </c:pt>
                <c:pt idx="1233">
                  <c:v>1.0229166666666674</c:v>
                </c:pt>
                <c:pt idx="1234">
                  <c:v>1.0236111111111119</c:v>
                </c:pt>
                <c:pt idx="1235">
                  <c:v>1.0243055555555565</c:v>
                </c:pt>
                <c:pt idx="1236">
                  <c:v>1.025000000000001</c:v>
                </c:pt>
                <c:pt idx="1237">
                  <c:v>1.0256944444444456</c:v>
                </c:pt>
                <c:pt idx="1238">
                  <c:v>1.0263888888888901</c:v>
                </c:pt>
                <c:pt idx="1239">
                  <c:v>1.0270833333333347</c:v>
                </c:pt>
                <c:pt idx="1240">
                  <c:v>1.0277777777777792</c:v>
                </c:pt>
                <c:pt idx="1241">
                  <c:v>1.0284722222222238</c:v>
                </c:pt>
                <c:pt idx="1242">
                  <c:v>1.0291666666666683</c:v>
                </c:pt>
                <c:pt idx="1243">
                  <c:v>1.0298611111111129</c:v>
                </c:pt>
                <c:pt idx="1244">
                  <c:v>1.0305555555555574</c:v>
                </c:pt>
                <c:pt idx="1245">
                  <c:v>1.031250000000002</c:v>
                </c:pt>
                <c:pt idx="1246">
                  <c:v>1.0319444444444466</c:v>
                </c:pt>
                <c:pt idx="1247">
                  <c:v>1.0326388888888911</c:v>
                </c:pt>
                <c:pt idx="1248">
                  <c:v>1.0333333333333357</c:v>
                </c:pt>
                <c:pt idx="1249">
                  <c:v>1.0340277777777802</c:v>
                </c:pt>
                <c:pt idx="1250">
                  <c:v>1.0347222222222248</c:v>
                </c:pt>
                <c:pt idx="1251">
                  <c:v>1.0354166666666693</c:v>
                </c:pt>
                <c:pt idx="1252">
                  <c:v>1.0361111111111139</c:v>
                </c:pt>
                <c:pt idx="1253">
                  <c:v>1.0368055555555584</c:v>
                </c:pt>
                <c:pt idx="1254">
                  <c:v>1.037500000000003</c:v>
                </c:pt>
                <c:pt idx="1255">
                  <c:v>1.0381944444444475</c:v>
                </c:pt>
                <c:pt idx="1256">
                  <c:v>1.0388888888888921</c:v>
                </c:pt>
                <c:pt idx="1257">
                  <c:v>1.0395833333333366</c:v>
                </c:pt>
                <c:pt idx="1258">
                  <c:v>1.0402777777777812</c:v>
                </c:pt>
                <c:pt idx="1259">
                  <c:v>1.0409722222222257</c:v>
                </c:pt>
                <c:pt idx="1260">
                  <c:v>1.0416666666666703</c:v>
                </c:pt>
                <c:pt idx="1261">
                  <c:v>1.0423611111111148</c:v>
                </c:pt>
                <c:pt idx="1262">
                  <c:v>1.0430555555555594</c:v>
                </c:pt>
                <c:pt idx="1263">
                  <c:v>1.043750000000004</c:v>
                </c:pt>
                <c:pt idx="1264">
                  <c:v>1.0444444444444485</c:v>
                </c:pt>
                <c:pt idx="1265">
                  <c:v>1.0451388888888931</c:v>
                </c:pt>
                <c:pt idx="1266">
                  <c:v>1.0458333333333376</c:v>
                </c:pt>
                <c:pt idx="1267">
                  <c:v>1.0465277777777822</c:v>
                </c:pt>
                <c:pt idx="1268">
                  <c:v>1.0472222222222267</c:v>
                </c:pt>
                <c:pt idx="1269">
                  <c:v>1.0479166666666713</c:v>
                </c:pt>
                <c:pt idx="1270">
                  <c:v>1.0486111111111158</c:v>
                </c:pt>
                <c:pt idx="1271">
                  <c:v>1.0493055555555604</c:v>
                </c:pt>
                <c:pt idx="1272">
                  <c:v>1.0500000000000049</c:v>
                </c:pt>
                <c:pt idx="1273">
                  <c:v>1.0506944444444495</c:v>
                </c:pt>
                <c:pt idx="1274">
                  <c:v>1.051388888888894</c:v>
                </c:pt>
                <c:pt idx="1275">
                  <c:v>1.0520833333333386</c:v>
                </c:pt>
                <c:pt idx="1276">
                  <c:v>1.0527777777777831</c:v>
                </c:pt>
                <c:pt idx="1277">
                  <c:v>1.0534722222222277</c:v>
                </c:pt>
                <c:pt idx="1278">
                  <c:v>1.0541666666666722</c:v>
                </c:pt>
                <c:pt idx="1279">
                  <c:v>1.0548611111111168</c:v>
                </c:pt>
                <c:pt idx="1280">
                  <c:v>1.0555555555555614</c:v>
                </c:pt>
                <c:pt idx="1281">
                  <c:v>1.0562500000000059</c:v>
                </c:pt>
                <c:pt idx="1282">
                  <c:v>1.0569444444444505</c:v>
                </c:pt>
                <c:pt idx="1283">
                  <c:v>1.057638888888895</c:v>
                </c:pt>
                <c:pt idx="1284">
                  <c:v>1.0583333333333396</c:v>
                </c:pt>
                <c:pt idx="1285">
                  <c:v>1.0590277777777841</c:v>
                </c:pt>
                <c:pt idx="1286">
                  <c:v>1.0597222222222287</c:v>
                </c:pt>
                <c:pt idx="1287">
                  <c:v>1.0604166666666732</c:v>
                </c:pt>
                <c:pt idx="1288">
                  <c:v>1.0611111111111178</c:v>
                </c:pt>
                <c:pt idx="1289">
                  <c:v>1.0618055555555623</c:v>
                </c:pt>
                <c:pt idx="1290">
                  <c:v>1.0625000000000069</c:v>
                </c:pt>
                <c:pt idx="1291">
                  <c:v>1.0631944444444514</c:v>
                </c:pt>
                <c:pt idx="1292">
                  <c:v>1.063888888888896</c:v>
                </c:pt>
                <c:pt idx="1293">
                  <c:v>1.0645833333333405</c:v>
                </c:pt>
                <c:pt idx="1294">
                  <c:v>1.0652777777777851</c:v>
                </c:pt>
                <c:pt idx="1295">
                  <c:v>1.0659722222222296</c:v>
                </c:pt>
                <c:pt idx="1296">
                  <c:v>1.0666666666666742</c:v>
                </c:pt>
                <c:pt idx="1297">
                  <c:v>1.0673611111111188</c:v>
                </c:pt>
                <c:pt idx="1298">
                  <c:v>1.0680555555555633</c:v>
                </c:pt>
                <c:pt idx="1299">
                  <c:v>1.0687500000000079</c:v>
                </c:pt>
                <c:pt idx="1300">
                  <c:v>1.0694444444444524</c:v>
                </c:pt>
                <c:pt idx="1301">
                  <c:v>1.070138888888897</c:v>
                </c:pt>
                <c:pt idx="1302">
                  <c:v>1.0708333333333415</c:v>
                </c:pt>
                <c:pt idx="1303">
                  <c:v>1.0715277777777861</c:v>
                </c:pt>
                <c:pt idx="1304">
                  <c:v>1.0722222222222306</c:v>
                </c:pt>
                <c:pt idx="1305">
                  <c:v>1.0729166666666752</c:v>
                </c:pt>
                <c:pt idx="1306">
                  <c:v>1.0736111111111197</c:v>
                </c:pt>
                <c:pt idx="1307">
                  <c:v>1.0743055555555643</c:v>
                </c:pt>
                <c:pt idx="1308">
                  <c:v>1.0750000000000088</c:v>
                </c:pt>
                <c:pt idx="1309">
                  <c:v>1.0756944444444534</c:v>
                </c:pt>
                <c:pt idx="1310">
                  <c:v>1.0763888888888979</c:v>
                </c:pt>
                <c:pt idx="1311">
                  <c:v>1.0770833333333425</c:v>
                </c:pt>
                <c:pt idx="1312">
                  <c:v>1.077777777777787</c:v>
                </c:pt>
                <c:pt idx="1313">
                  <c:v>1.0784722222222316</c:v>
                </c:pt>
                <c:pt idx="1314">
                  <c:v>1.0791666666666762</c:v>
                </c:pt>
                <c:pt idx="1315">
                  <c:v>1.0798611111111207</c:v>
                </c:pt>
                <c:pt idx="1316">
                  <c:v>1.0805555555555653</c:v>
                </c:pt>
                <c:pt idx="1317">
                  <c:v>1.0812500000000098</c:v>
                </c:pt>
                <c:pt idx="1318">
                  <c:v>1.0819444444444544</c:v>
                </c:pt>
                <c:pt idx="1319">
                  <c:v>1.0826388888888989</c:v>
                </c:pt>
                <c:pt idx="1320">
                  <c:v>1.0833333333333435</c:v>
                </c:pt>
                <c:pt idx="1321">
                  <c:v>1.084027777777788</c:v>
                </c:pt>
                <c:pt idx="1322">
                  <c:v>1.0847222222222326</c:v>
                </c:pt>
                <c:pt idx="1323">
                  <c:v>1.0854166666666771</c:v>
                </c:pt>
                <c:pt idx="1324">
                  <c:v>1.0861111111111217</c:v>
                </c:pt>
                <c:pt idx="1325">
                  <c:v>1.0868055555555662</c:v>
                </c:pt>
                <c:pt idx="1326">
                  <c:v>1.0875000000000108</c:v>
                </c:pt>
                <c:pt idx="1327">
                  <c:v>1.0881944444444553</c:v>
                </c:pt>
                <c:pt idx="1328">
                  <c:v>1.0888888888888999</c:v>
                </c:pt>
                <c:pt idx="1329">
                  <c:v>1.0895833333333445</c:v>
                </c:pt>
                <c:pt idx="1330">
                  <c:v>1.090277777777789</c:v>
                </c:pt>
                <c:pt idx="1331">
                  <c:v>1.0909722222222336</c:v>
                </c:pt>
                <c:pt idx="1332">
                  <c:v>1.0916666666666781</c:v>
                </c:pt>
                <c:pt idx="1333">
                  <c:v>1.0923611111111227</c:v>
                </c:pt>
                <c:pt idx="1334">
                  <c:v>1.0930555555555672</c:v>
                </c:pt>
                <c:pt idx="1335">
                  <c:v>1.0937500000000118</c:v>
                </c:pt>
                <c:pt idx="1336">
                  <c:v>1.0944444444444563</c:v>
                </c:pt>
                <c:pt idx="1337">
                  <c:v>1.0951388888889009</c:v>
                </c:pt>
                <c:pt idx="1338">
                  <c:v>1.0958333333333454</c:v>
                </c:pt>
                <c:pt idx="1339">
                  <c:v>1.09652777777779</c:v>
                </c:pt>
                <c:pt idx="1340">
                  <c:v>1.0972222222222345</c:v>
                </c:pt>
                <c:pt idx="1341">
                  <c:v>1.0979166666666791</c:v>
                </c:pt>
                <c:pt idx="1342">
                  <c:v>1.0986111111111236</c:v>
                </c:pt>
                <c:pt idx="1343">
                  <c:v>1.0993055555555682</c:v>
                </c:pt>
                <c:pt idx="1344">
                  <c:v>1.1000000000000127</c:v>
                </c:pt>
                <c:pt idx="1345">
                  <c:v>1.1006944444444573</c:v>
                </c:pt>
                <c:pt idx="1346">
                  <c:v>1.1013888888889019</c:v>
                </c:pt>
                <c:pt idx="1347">
                  <c:v>1.1020833333333464</c:v>
                </c:pt>
                <c:pt idx="1348">
                  <c:v>1.102777777777791</c:v>
                </c:pt>
                <c:pt idx="1349">
                  <c:v>1.1034722222222355</c:v>
                </c:pt>
                <c:pt idx="1350">
                  <c:v>1.1041666666666801</c:v>
                </c:pt>
                <c:pt idx="1351">
                  <c:v>1.1048611111111246</c:v>
                </c:pt>
                <c:pt idx="1352">
                  <c:v>1.1055555555555692</c:v>
                </c:pt>
                <c:pt idx="1353">
                  <c:v>1.1062500000000137</c:v>
                </c:pt>
                <c:pt idx="1354">
                  <c:v>1.1069444444444583</c:v>
                </c:pt>
                <c:pt idx="1355">
                  <c:v>1.1076388888889028</c:v>
                </c:pt>
                <c:pt idx="1356">
                  <c:v>1.1083333333333474</c:v>
                </c:pt>
                <c:pt idx="1357">
                  <c:v>1.1090277777777919</c:v>
                </c:pt>
                <c:pt idx="1358">
                  <c:v>1.1097222222222365</c:v>
                </c:pt>
                <c:pt idx="1359">
                  <c:v>1.110416666666681</c:v>
                </c:pt>
                <c:pt idx="1360">
                  <c:v>1.1111111111111256</c:v>
                </c:pt>
                <c:pt idx="1361">
                  <c:v>1.1118055555555701</c:v>
                </c:pt>
                <c:pt idx="1362">
                  <c:v>1.1125000000000147</c:v>
                </c:pt>
                <c:pt idx="1363">
                  <c:v>1.1131944444444593</c:v>
                </c:pt>
                <c:pt idx="1364">
                  <c:v>1.1138888888889038</c:v>
                </c:pt>
                <c:pt idx="1365">
                  <c:v>1.1145833333333484</c:v>
                </c:pt>
                <c:pt idx="1366">
                  <c:v>1.1152777777777929</c:v>
                </c:pt>
                <c:pt idx="1367">
                  <c:v>1.1159722222222375</c:v>
                </c:pt>
                <c:pt idx="1368">
                  <c:v>1.116666666666682</c:v>
                </c:pt>
                <c:pt idx="1369">
                  <c:v>1.1173611111111266</c:v>
                </c:pt>
                <c:pt idx="1370">
                  <c:v>1.1180555555555711</c:v>
                </c:pt>
                <c:pt idx="1371">
                  <c:v>1.1187500000000157</c:v>
                </c:pt>
                <c:pt idx="1372">
                  <c:v>1.1194444444444602</c:v>
                </c:pt>
                <c:pt idx="1373">
                  <c:v>1.1201388888889048</c:v>
                </c:pt>
                <c:pt idx="1374">
                  <c:v>1.1208333333333493</c:v>
                </c:pt>
                <c:pt idx="1375">
                  <c:v>1.1215277777777939</c:v>
                </c:pt>
                <c:pt idx="1376">
                  <c:v>1.1222222222222384</c:v>
                </c:pt>
                <c:pt idx="1377">
                  <c:v>1.122916666666683</c:v>
                </c:pt>
                <c:pt idx="1378">
                  <c:v>1.1236111111111275</c:v>
                </c:pt>
                <c:pt idx="1379">
                  <c:v>1.1243055555555721</c:v>
                </c:pt>
                <c:pt idx="1380">
                  <c:v>1.1250000000000167</c:v>
                </c:pt>
                <c:pt idx="1381">
                  <c:v>1.1256944444444612</c:v>
                </c:pt>
                <c:pt idx="1382">
                  <c:v>1.1263888888889058</c:v>
                </c:pt>
                <c:pt idx="1383">
                  <c:v>1.1270833333333503</c:v>
                </c:pt>
                <c:pt idx="1384">
                  <c:v>1.1277777777777949</c:v>
                </c:pt>
                <c:pt idx="1385">
                  <c:v>1.1284722222222394</c:v>
                </c:pt>
                <c:pt idx="1386">
                  <c:v>1.129166666666684</c:v>
                </c:pt>
                <c:pt idx="1387">
                  <c:v>1.1298611111111285</c:v>
                </c:pt>
                <c:pt idx="1388">
                  <c:v>1.1305555555555731</c:v>
                </c:pt>
                <c:pt idx="1389">
                  <c:v>1.1312500000000176</c:v>
                </c:pt>
                <c:pt idx="1390">
                  <c:v>1.1319444444444622</c:v>
                </c:pt>
                <c:pt idx="1391">
                  <c:v>1.1326388888889067</c:v>
                </c:pt>
                <c:pt idx="1392">
                  <c:v>1.1333333333333513</c:v>
                </c:pt>
                <c:pt idx="1393">
                  <c:v>1.1340277777777958</c:v>
                </c:pt>
                <c:pt idx="1394">
                  <c:v>1.1347222222222404</c:v>
                </c:pt>
                <c:pt idx="1395">
                  <c:v>1.1354166666666849</c:v>
                </c:pt>
                <c:pt idx="1396">
                  <c:v>1.1361111111111295</c:v>
                </c:pt>
                <c:pt idx="1397">
                  <c:v>1.1368055555555741</c:v>
                </c:pt>
                <c:pt idx="1398">
                  <c:v>1.1375000000000186</c:v>
                </c:pt>
                <c:pt idx="1399">
                  <c:v>1.1381944444444632</c:v>
                </c:pt>
                <c:pt idx="1400">
                  <c:v>1.1388888888889077</c:v>
                </c:pt>
                <c:pt idx="1401">
                  <c:v>1.1395833333333523</c:v>
                </c:pt>
                <c:pt idx="1402">
                  <c:v>1.1402777777777968</c:v>
                </c:pt>
                <c:pt idx="1403">
                  <c:v>1.1409722222222414</c:v>
                </c:pt>
                <c:pt idx="1404">
                  <c:v>1.1416666666666859</c:v>
                </c:pt>
                <c:pt idx="1405">
                  <c:v>1.1423611111111305</c:v>
                </c:pt>
                <c:pt idx="1406">
                  <c:v>1.143055555555575</c:v>
                </c:pt>
                <c:pt idx="1407">
                  <c:v>1.1437500000000196</c:v>
                </c:pt>
                <c:pt idx="1408">
                  <c:v>1.1444444444444641</c:v>
                </c:pt>
                <c:pt idx="1409">
                  <c:v>1.1451388888889087</c:v>
                </c:pt>
                <c:pt idx="1410">
                  <c:v>1.1458333333333532</c:v>
                </c:pt>
                <c:pt idx="1411">
                  <c:v>1.1465277777777978</c:v>
                </c:pt>
                <c:pt idx="1412">
                  <c:v>1.1472222222222423</c:v>
                </c:pt>
                <c:pt idx="1413">
                  <c:v>1.1479166666666869</c:v>
                </c:pt>
                <c:pt idx="1414">
                  <c:v>1.1486111111111315</c:v>
                </c:pt>
                <c:pt idx="1415">
                  <c:v>1.149305555555576</c:v>
                </c:pt>
                <c:pt idx="1416">
                  <c:v>1.1500000000000206</c:v>
                </c:pt>
                <c:pt idx="1417">
                  <c:v>1.1506944444444651</c:v>
                </c:pt>
                <c:pt idx="1418">
                  <c:v>1.1513888888889097</c:v>
                </c:pt>
                <c:pt idx="1419">
                  <c:v>1.1520833333333542</c:v>
                </c:pt>
                <c:pt idx="1420">
                  <c:v>1.1527777777777988</c:v>
                </c:pt>
                <c:pt idx="1421">
                  <c:v>1.1534722222222433</c:v>
                </c:pt>
                <c:pt idx="1422">
                  <c:v>1.1541666666666879</c:v>
                </c:pt>
                <c:pt idx="1423">
                  <c:v>1.1548611111111324</c:v>
                </c:pt>
                <c:pt idx="1424">
                  <c:v>1.155555555555577</c:v>
                </c:pt>
                <c:pt idx="1425">
                  <c:v>1.1562500000000215</c:v>
                </c:pt>
                <c:pt idx="1426">
                  <c:v>1.1569444444444661</c:v>
                </c:pt>
                <c:pt idx="1427">
                  <c:v>1.1576388888889106</c:v>
                </c:pt>
                <c:pt idx="1428">
                  <c:v>1.1583333333333552</c:v>
                </c:pt>
                <c:pt idx="1429">
                  <c:v>1.1590277777777998</c:v>
                </c:pt>
                <c:pt idx="1430">
                  <c:v>1.1597222222222443</c:v>
                </c:pt>
                <c:pt idx="1431">
                  <c:v>1.1604166666666889</c:v>
                </c:pt>
                <c:pt idx="1432">
                  <c:v>1.1611111111111334</c:v>
                </c:pt>
                <c:pt idx="1433">
                  <c:v>1.161805555555578</c:v>
                </c:pt>
                <c:pt idx="1434">
                  <c:v>1.1625000000000225</c:v>
                </c:pt>
                <c:pt idx="1435">
                  <c:v>1.1631944444444671</c:v>
                </c:pt>
                <c:pt idx="1436">
                  <c:v>1.1638888888889116</c:v>
                </c:pt>
                <c:pt idx="1437">
                  <c:v>1.1645833333333562</c:v>
                </c:pt>
                <c:pt idx="1438">
                  <c:v>1.1652777777778007</c:v>
                </c:pt>
                <c:pt idx="1439">
                  <c:v>1.1659722222222453</c:v>
                </c:pt>
              </c:numCache>
            </c:numRef>
          </c:cat>
          <c:val>
            <c:numRef>
              <c:f>'Full Data Array'!$BG$4:$BG$1443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93-4591-AE78-9DDDCCF9D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34304"/>
        <c:axId val="292436608"/>
      </c:areaChart>
      <c:catAx>
        <c:axId val="2924343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low"/>
        <c:spPr>
          <a:ln w="9525">
            <a:round/>
          </a:ln>
        </c:spPr>
        <c:txPr>
          <a:bodyPr rot="-5400000" vert="horz"/>
          <a:lstStyle/>
          <a:p>
            <a:pPr>
              <a:defRPr sz="700" baseline="0"/>
            </a:pPr>
            <a:endParaRPr lang="en-US"/>
          </a:p>
        </c:txPr>
        <c:crossAx val="292436608"/>
        <c:crosses val="autoZero"/>
        <c:auto val="0"/>
        <c:lblAlgn val="ctr"/>
        <c:lblOffset val="1"/>
        <c:tickLblSkip val="60"/>
        <c:tickMarkSkip val="240"/>
        <c:noMultiLvlLbl val="0"/>
      </c:catAx>
      <c:valAx>
        <c:axId val="292436608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92434304"/>
        <c:crossesAt val="1"/>
        <c:crossBetween val="midCat"/>
      </c:valAx>
      <c:spPr>
        <a:ln>
          <a:noFill/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>
      <c:oddFooter>&amp;L&amp;G&amp;RRADC Memory and Aging Project 2017</c:oddFooter>
    </c:headerFooter>
    <c:pageMargins b="0.74803149606299202" l="0.70866141732283505" r="0.70866141732283505" t="0.74803149606299202" header="0.31496062992126" footer="0.31496062992126"/>
    <c:pageSetup paperSize="9" orientation="portrait"/>
    <c:legacyDrawingHF r:id="rId1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88599389585696E-3"/>
          <c:y val="0"/>
          <c:w val="0.9970171010663883"/>
          <c:h val="0.95726185741933778"/>
        </c:manualLayout>
      </c:layout>
      <c:areaChart>
        <c:grouping val="standard"/>
        <c:varyColors val="0"/>
        <c:ser>
          <c:idx val="0"/>
          <c:order val="0"/>
          <c:tx>
            <c:v>x1</c:v>
          </c:tx>
          <c:spPr>
            <a:solidFill>
              <a:schemeClr val="bg1">
                <a:lumMod val="50000"/>
              </a:schemeClr>
            </a:solidFill>
            <a:ln w="12700">
              <a:noFill/>
            </a:ln>
          </c:spPr>
          <c:cat>
            <c:numRef>
              <c:f>'Full Data Array'!$BE$4:$BE$1443</c:f>
              <c:numCache>
                <c:formatCode>h:mm</c:formatCode>
                <c:ptCount val="1440"/>
                <c:pt idx="0">
                  <c:v>0.16666666666666666</c:v>
                </c:pt>
                <c:pt idx="1">
                  <c:v>0.1673611111111111</c:v>
                </c:pt>
                <c:pt idx="2">
                  <c:v>0.16805555555555554</c:v>
                </c:pt>
                <c:pt idx="3">
                  <c:v>0.16874999999999998</c:v>
                </c:pt>
                <c:pt idx="4">
                  <c:v>0.16944444444444443</c:v>
                </c:pt>
                <c:pt idx="5">
                  <c:v>0.17013888888888887</c:v>
                </c:pt>
                <c:pt idx="6">
                  <c:v>0.17083333333333331</c:v>
                </c:pt>
                <c:pt idx="7">
                  <c:v>0.17152777777777775</c:v>
                </c:pt>
                <c:pt idx="8">
                  <c:v>0.17222222222222219</c:v>
                </c:pt>
                <c:pt idx="9">
                  <c:v>0.17291666666666664</c:v>
                </c:pt>
                <c:pt idx="10">
                  <c:v>0.17361111111111108</c:v>
                </c:pt>
                <c:pt idx="11">
                  <c:v>0.17430555555555552</c:v>
                </c:pt>
                <c:pt idx="12">
                  <c:v>0.17499999999999996</c:v>
                </c:pt>
                <c:pt idx="13">
                  <c:v>0.1756944444444444</c:v>
                </c:pt>
                <c:pt idx="14">
                  <c:v>0.17638888888888885</c:v>
                </c:pt>
                <c:pt idx="15">
                  <c:v>0.17708333333333329</c:v>
                </c:pt>
                <c:pt idx="16">
                  <c:v>0.17777777777777773</c:v>
                </c:pt>
                <c:pt idx="17">
                  <c:v>0.17847222222222217</c:v>
                </c:pt>
                <c:pt idx="18">
                  <c:v>0.17916666666666661</c:v>
                </c:pt>
                <c:pt idx="19">
                  <c:v>0.17986111111111105</c:v>
                </c:pt>
                <c:pt idx="20">
                  <c:v>0.1805555555555555</c:v>
                </c:pt>
                <c:pt idx="21">
                  <c:v>0.18124999999999994</c:v>
                </c:pt>
                <c:pt idx="22">
                  <c:v>0.18194444444444438</c:v>
                </c:pt>
                <c:pt idx="23">
                  <c:v>0.18263888888888882</c:v>
                </c:pt>
                <c:pt idx="24">
                  <c:v>0.18333333333333326</c:v>
                </c:pt>
                <c:pt idx="25">
                  <c:v>0.18402777777777771</c:v>
                </c:pt>
                <c:pt idx="26">
                  <c:v>0.18472222222222215</c:v>
                </c:pt>
                <c:pt idx="27">
                  <c:v>0.18541666666666659</c:v>
                </c:pt>
                <c:pt idx="28">
                  <c:v>0.18611111111111103</c:v>
                </c:pt>
                <c:pt idx="29">
                  <c:v>0.18680555555555547</c:v>
                </c:pt>
                <c:pt idx="30">
                  <c:v>0.18749999999999992</c:v>
                </c:pt>
                <c:pt idx="31">
                  <c:v>0.18819444444444436</c:v>
                </c:pt>
                <c:pt idx="32">
                  <c:v>0.1888888888888888</c:v>
                </c:pt>
                <c:pt idx="33">
                  <c:v>0.18958333333333324</c:v>
                </c:pt>
                <c:pt idx="34">
                  <c:v>0.19027777777777768</c:v>
                </c:pt>
                <c:pt idx="35">
                  <c:v>0.19097222222222213</c:v>
                </c:pt>
                <c:pt idx="36">
                  <c:v>0.19166666666666657</c:v>
                </c:pt>
                <c:pt idx="37">
                  <c:v>0.19236111111111101</c:v>
                </c:pt>
                <c:pt idx="38">
                  <c:v>0.19305555555555545</c:v>
                </c:pt>
                <c:pt idx="39">
                  <c:v>0.19374999999999989</c:v>
                </c:pt>
                <c:pt idx="40">
                  <c:v>0.19444444444444434</c:v>
                </c:pt>
                <c:pt idx="41">
                  <c:v>0.19513888888888878</c:v>
                </c:pt>
                <c:pt idx="42">
                  <c:v>0.19583333333333322</c:v>
                </c:pt>
                <c:pt idx="43">
                  <c:v>0.19652777777777766</c:v>
                </c:pt>
                <c:pt idx="44">
                  <c:v>0.1972222222222221</c:v>
                </c:pt>
                <c:pt idx="45">
                  <c:v>0.19791666666666655</c:v>
                </c:pt>
                <c:pt idx="46">
                  <c:v>0.19861111111111099</c:v>
                </c:pt>
                <c:pt idx="47">
                  <c:v>0.19930555555555543</c:v>
                </c:pt>
                <c:pt idx="48">
                  <c:v>0.19999999999999987</c:v>
                </c:pt>
                <c:pt idx="49">
                  <c:v>0.20069444444444431</c:v>
                </c:pt>
                <c:pt idx="50">
                  <c:v>0.20138888888888876</c:v>
                </c:pt>
                <c:pt idx="51">
                  <c:v>0.2020833333333332</c:v>
                </c:pt>
                <c:pt idx="52">
                  <c:v>0.20277777777777764</c:v>
                </c:pt>
                <c:pt idx="53">
                  <c:v>0.20347222222222208</c:v>
                </c:pt>
                <c:pt idx="54">
                  <c:v>0.20416666666666652</c:v>
                </c:pt>
                <c:pt idx="55">
                  <c:v>0.20486111111111097</c:v>
                </c:pt>
                <c:pt idx="56">
                  <c:v>0.20555555555555541</c:v>
                </c:pt>
                <c:pt idx="57">
                  <c:v>0.20624999999999985</c:v>
                </c:pt>
                <c:pt idx="58">
                  <c:v>0.20694444444444429</c:v>
                </c:pt>
                <c:pt idx="59">
                  <c:v>0.20763888888888873</c:v>
                </c:pt>
                <c:pt idx="60">
                  <c:v>0.20833333333333318</c:v>
                </c:pt>
                <c:pt idx="61">
                  <c:v>0.20902777777777762</c:v>
                </c:pt>
                <c:pt idx="62">
                  <c:v>0.20972222222222206</c:v>
                </c:pt>
                <c:pt idx="63">
                  <c:v>0.2104166666666665</c:v>
                </c:pt>
                <c:pt idx="64">
                  <c:v>0.21111111111111094</c:v>
                </c:pt>
                <c:pt idx="65">
                  <c:v>0.21180555555555539</c:v>
                </c:pt>
                <c:pt idx="66">
                  <c:v>0.21249999999999983</c:v>
                </c:pt>
                <c:pt idx="67">
                  <c:v>0.21319444444444427</c:v>
                </c:pt>
                <c:pt idx="68">
                  <c:v>0.21388888888888871</c:v>
                </c:pt>
                <c:pt idx="69">
                  <c:v>0.21458333333333315</c:v>
                </c:pt>
                <c:pt idx="70">
                  <c:v>0.2152777777777776</c:v>
                </c:pt>
                <c:pt idx="71">
                  <c:v>0.21597222222222204</c:v>
                </c:pt>
                <c:pt idx="72">
                  <c:v>0.21666666666666648</c:v>
                </c:pt>
                <c:pt idx="73">
                  <c:v>0.21736111111111092</c:v>
                </c:pt>
                <c:pt idx="74">
                  <c:v>0.21805555555555536</c:v>
                </c:pt>
                <c:pt idx="75">
                  <c:v>0.21874999999999981</c:v>
                </c:pt>
                <c:pt idx="76">
                  <c:v>0.21944444444444425</c:v>
                </c:pt>
                <c:pt idx="77">
                  <c:v>0.22013888888888869</c:v>
                </c:pt>
                <c:pt idx="78">
                  <c:v>0.22083333333333313</c:v>
                </c:pt>
                <c:pt idx="79">
                  <c:v>0.22152777777777757</c:v>
                </c:pt>
                <c:pt idx="80">
                  <c:v>0.22222222222222202</c:v>
                </c:pt>
                <c:pt idx="81">
                  <c:v>0.22291666666666646</c:v>
                </c:pt>
                <c:pt idx="82">
                  <c:v>0.2236111111111109</c:v>
                </c:pt>
                <c:pt idx="83">
                  <c:v>0.22430555555555534</c:v>
                </c:pt>
                <c:pt idx="84">
                  <c:v>0.22499999999999978</c:v>
                </c:pt>
                <c:pt idx="85">
                  <c:v>0.22569444444444423</c:v>
                </c:pt>
                <c:pt idx="86">
                  <c:v>0.22638888888888867</c:v>
                </c:pt>
                <c:pt idx="87">
                  <c:v>0.22708333333333311</c:v>
                </c:pt>
                <c:pt idx="88">
                  <c:v>0.22777777777777755</c:v>
                </c:pt>
                <c:pt idx="89">
                  <c:v>0.22847222222222199</c:v>
                </c:pt>
                <c:pt idx="90">
                  <c:v>0.22916666666666644</c:v>
                </c:pt>
                <c:pt idx="91">
                  <c:v>0.22986111111111088</c:v>
                </c:pt>
                <c:pt idx="92">
                  <c:v>0.23055555555555532</c:v>
                </c:pt>
                <c:pt idx="93">
                  <c:v>0.23124999999999976</c:v>
                </c:pt>
                <c:pt idx="94">
                  <c:v>0.2319444444444442</c:v>
                </c:pt>
                <c:pt idx="95">
                  <c:v>0.23263888888888865</c:v>
                </c:pt>
                <c:pt idx="96">
                  <c:v>0.23333333333333309</c:v>
                </c:pt>
                <c:pt idx="97">
                  <c:v>0.23402777777777753</c:v>
                </c:pt>
                <c:pt idx="98">
                  <c:v>0.23472222222222197</c:v>
                </c:pt>
                <c:pt idx="99">
                  <c:v>0.23541666666666641</c:v>
                </c:pt>
                <c:pt idx="100">
                  <c:v>0.23611111111111086</c:v>
                </c:pt>
                <c:pt idx="101">
                  <c:v>0.2368055555555553</c:v>
                </c:pt>
                <c:pt idx="102">
                  <c:v>0.23749999999999974</c:v>
                </c:pt>
                <c:pt idx="103">
                  <c:v>0.23819444444444418</c:v>
                </c:pt>
                <c:pt idx="104">
                  <c:v>0.23888888888888862</c:v>
                </c:pt>
                <c:pt idx="105">
                  <c:v>0.23958333333333307</c:v>
                </c:pt>
                <c:pt idx="106">
                  <c:v>0.24027777777777751</c:v>
                </c:pt>
                <c:pt idx="107">
                  <c:v>0.24097222222222195</c:v>
                </c:pt>
                <c:pt idx="108">
                  <c:v>0.24166666666666639</c:v>
                </c:pt>
                <c:pt idx="109">
                  <c:v>0.24236111111111083</c:v>
                </c:pt>
                <c:pt idx="110">
                  <c:v>0.24305555555555527</c:v>
                </c:pt>
                <c:pt idx="111">
                  <c:v>0.24374999999999972</c:v>
                </c:pt>
                <c:pt idx="112">
                  <c:v>0.24444444444444416</c:v>
                </c:pt>
                <c:pt idx="113">
                  <c:v>0.2451388888888886</c:v>
                </c:pt>
                <c:pt idx="114">
                  <c:v>0.24583333333333304</c:v>
                </c:pt>
                <c:pt idx="115">
                  <c:v>0.24652777777777748</c:v>
                </c:pt>
                <c:pt idx="116">
                  <c:v>0.24722222222222193</c:v>
                </c:pt>
                <c:pt idx="117">
                  <c:v>0.24791666666666637</c:v>
                </c:pt>
                <c:pt idx="118">
                  <c:v>0.24861111111111081</c:v>
                </c:pt>
                <c:pt idx="119">
                  <c:v>0.24930555555555525</c:v>
                </c:pt>
                <c:pt idx="120">
                  <c:v>0.24999999999999969</c:v>
                </c:pt>
                <c:pt idx="121">
                  <c:v>0.25069444444444416</c:v>
                </c:pt>
                <c:pt idx="122">
                  <c:v>0.25138888888888861</c:v>
                </c:pt>
                <c:pt idx="123">
                  <c:v>0.25208333333333305</c:v>
                </c:pt>
                <c:pt idx="124">
                  <c:v>0.25277777777777749</c:v>
                </c:pt>
                <c:pt idx="125">
                  <c:v>0.25347222222222193</c:v>
                </c:pt>
                <c:pt idx="126">
                  <c:v>0.25416666666666637</c:v>
                </c:pt>
                <c:pt idx="127">
                  <c:v>0.25486111111111082</c:v>
                </c:pt>
                <c:pt idx="128">
                  <c:v>0.25555555555555526</c:v>
                </c:pt>
                <c:pt idx="129">
                  <c:v>0.2562499999999997</c:v>
                </c:pt>
                <c:pt idx="130">
                  <c:v>0.25694444444444414</c:v>
                </c:pt>
                <c:pt idx="131">
                  <c:v>0.25763888888888858</c:v>
                </c:pt>
                <c:pt idx="132">
                  <c:v>0.25833333333333303</c:v>
                </c:pt>
                <c:pt idx="133">
                  <c:v>0.25902777777777747</c:v>
                </c:pt>
                <c:pt idx="134">
                  <c:v>0.25972222222222191</c:v>
                </c:pt>
                <c:pt idx="135">
                  <c:v>0.26041666666666635</c:v>
                </c:pt>
                <c:pt idx="136">
                  <c:v>0.26111111111111079</c:v>
                </c:pt>
                <c:pt idx="137">
                  <c:v>0.26180555555555524</c:v>
                </c:pt>
                <c:pt idx="138">
                  <c:v>0.26249999999999968</c:v>
                </c:pt>
                <c:pt idx="139">
                  <c:v>0.26319444444444412</c:v>
                </c:pt>
                <c:pt idx="140">
                  <c:v>0.26388888888888856</c:v>
                </c:pt>
                <c:pt idx="141">
                  <c:v>0.264583333333333</c:v>
                </c:pt>
                <c:pt idx="142">
                  <c:v>0.26527777777777745</c:v>
                </c:pt>
                <c:pt idx="143">
                  <c:v>0.26597222222222189</c:v>
                </c:pt>
                <c:pt idx="144">
                  <c:v>0.26666666666666633</c:v>
                </c:pt>
                <c:pt idx="145">
                  <c:v>0.26736111111111077</c:v>
                </c:pt>
                <c:pt idx="146">
                  <c:v>0.26805555555555521</c:v>
                </c:pt>
                <c:pt idx="147">
                  <c:v>0.26874999999999966</c:v>
                </c:pt>
                <c:pt idx="148">
                  <c:v>0.2694444444444441</c:v>
                </c:pt>
                <c:pt idx="149">
                  <c:v>0.27013888888888854</c:v>
                </c:pt>
                <c:pt idx="150">
                  <c:v>0.27083333333333298</c:v>
                </c:pt>
                <c:pt idx="151">
                  <c:v>0.27152777777777742</c:v>
                </c:pt>
                <c:pt idx="152">
                  <c:v>0.27222222222222187</c:v>
                </c:pt>
                <c:pt idx="153">
                  <c:v>0.27291666666666631</c:v>
                </c:pt>
                <c:pt idx="154">
                  <c:v>0.27361111111111075</c:v>
                </c:pt>
                <c:pt idx="155">
                  <c:v>0.27430555555555519</c:v>
                </c:pt>
                <c:pt idx="156">
                  <c:v>0.27499999999999963</c:v>
                </c:pt>
                <c:pt idx="157">
                  <c:v>0.27569444444444408</c:v>
                </c:pt>
                <c:pt idx="158">
                  <c:v>0.27638888888888852</c:v>
                </c:pt>
                <c:pt idx="159">
                  <c:v>0.27708333333333296</c:v>
                </c:pt>
                <c:pt idx="160">
                  <c:v>0.2777777777777774</c:v>
                </c:pt>
                <c:pt idx="161">
                  <c:v>0.27847222222222184</c:v>
                </c:pt>
                <c:pt idx="162">
                  <c:v>0.27916666666666629</c:v>
                </c:pt>
                <c:pt idx="163">
                  <c:v>0.27986111111111073</c:v>
                </c:pt>
                <c:pt idx="164">
                  <c:v>0.28055555555555517</c:v>
                </c:pt>
                <c:pt idx="165">
                  <c:v>0.28124999999999961</c:v>
                </c:pt>
                <c:pt idx="166">
                  <c:v>0.28194444444444405</c:v>
                </c:pt>
                <c:pt idx="167">
                  <c:v>0.2826388888888885</c:v>
                </c:pt>
                <c:pt idx="168">
                  <c:v>0.28333333333333294</c:v>
                </c:pt>
                <c:pt idx="169">
                  <c:v>0.28402777777777738</c:v>
                </c:pt>
                <c:pt idx="170">
                  <c:v>0.28472222222222182</c:v>
                </c:pt>
                <c:pt idx="171">
                  <c:v>0.28541666666666626</c:v>
                </c:pt>
                <c:pt idx="172">
                  <c:v>0.28611111111111071</c:v>
                </c:pt>
                <c:pt idx="173">
                  <c:v>0.28680555555555515</c:v>
                </c:pt>
                <c:pt idx="174">
                  <c:v>0.28749999999999959</c:v>
                </c:pt>
                <c:pt idx="175">
                  <c:v>0.28819444444444403</c:v>
                </c:pt>
                <c:pt idx="176">
                  <c:v>0.28888888888888847</c:v>
                </c:pt>
                <c:pt idx="177">
                  <c:v>0.28958333333333292</c:v>
                </c:pt>
                <c:pt idx="178">
                  <c:v>0.29027777777777736</c:v>
                </c:pt>
                <c:pt idx="179">
                  <c:v>0.2909722222222218</c:v>
                </c:pt>
                <c:pt idx="180">
                  <c:v>0.29166666666666624</c:v>
                </c:pt>
                <c:pt idx="181">
                  <c:v>0.29236111111111068</c:v>
                </c:pt>
                <c:pt idx="182">
                  <c:v>0.29305555555555513</c:v>
                </c:pt>
                <c:pt idx="183">
                  <c:v>0.29374999999999957</c:v>
                </c:pt>
                <c:pt idx="184">
                  <c:v>0.29444444444444401</c:v>
                </c:pt>
                <c:pt idx="185">
                  <c:v>0.29513888888888845</c:v>
                </c:pt>
                <c:pt idx="186">
                  <c:v>0.29583333333333289</c:v>
                </c:pt>
                <c:pt idx="187">
                  <c:v>0.29652777777777733</c:v>
                </c:pt>
                <c:pt idx="188">
                  <c:v>0.29722222222222178</c:v>
                </c:pt>
                <c:pt idx="189">
                  <c:v>0.29791666666666622</c:v>
                </c:pt>
                <c:pt idx="190">
                  <c:v>0.29861111111111066</c:v>
                </c:pt>
                <c:pt idx="191">
                  <c:v>0.2993055555555551</c:v>
                </c:pt>
                <c:pt idx="192">
                  <c:v>0.29999999999999954</c:v>
                </c:pt>
                <c:pt idx="193">
                  <c:v>0.30069444444444399</c:v>
                </c:pt>
                <c:pt idx="194">
                  <c:v>0.30138888888888843</c:v>
                </c:pt>
                <c:pt idx="195">
                  <c:v>0.30208333333333287</c:v>
                </c:pt>
                <c:pt idx="196">
                  <c:v>0.30277777777777731</c:v>
                </c:pt>
                <c:pt idx="197">
                  <c:v>0.30347222222222175</c:v>
                </c:pt>
                <c:pt idx="198">
                  <c:v>0.3041666666666662</c:v>
                </c:pt>
                <c:pt idx="199">
                  <c:v>0.30486111111111064</c:v>
                </c:pt>
                <c:pt idx="200">
                  <c:v>0.30555555555555508</c:v>
                </c:pt>
                <c:pt idx="201">
                  <c:v>0.30624999999999952</c:v>
                </c:pt>
                <c:pt idx="202">
                  <c:v>0.30694444444444396</c:v>
                </c:pt>
                <c:pt idx="203">
                  <c:v>0.30763888888888841</c:v>
                </c:pt>
                <c:pt idx="204">
                  <c:v>0.30833333333333285</c:v>
                </c:pt>
                <c:pt idx="205">
                  <c:v>0.30902777777777729</c:v>
                </c:pt>
                <c:pt idx="206">
                  <c:v>0.30972222222222173</c:v>
                </c:pt>
                <c:pt idx="207">
                  <c:v>0.31041666666666617</c:v>
                </c:pt>
                <c:pt idx="208">
                  <c:v>0.31111111111111062</c:v>
                </c:pt>
                <c:pt idx="209">
                  <c:v>0.31180555555555506</c:v>
                </c:pt>
                <c:pt idx="210">
                  <c:v>0.3124999999999995</c:v>
                </c:pt>
                <c:pt idx="211">
                  <c:v>0.31319444444444394</c:v>
                </c:pt>
                <c:pt idx="212">
                  <c:v>0.31388888888888838</c:v>
                </c:pt>
                <c:pt idx="213">
                  <c:v>0.31458333333333283</c:v>
                </c:pt>
                <c:pt idx="214">
                  <c:v>0.31527777777777727</c:v>
                </c:pt>
                <c:pt idx="215">
                  <c:v>0.31597222222222171</c:v>
                </c:pt>
                <c:pt idx="216">
                  <c:v>0.31666666666666615</c:v>
                </c:pt>
                <c:pt idx="217">
                  <c:v>0.31736111111111059</c:v>
                </c:pt>
                <c:pt idx="218">
                  <c:v>0.31805555555555504</c:v>
                </c:pt>
                <c:pt idx="219">
                  <c:v>0.31874999999999948</c:v>
                </c:pt>
                <c:pt idx="220">
                  <c:v>0.31944444444444392</c:v>
                </c:pt>
                <c:pt idx="221">
                  <c:v>0.32013888888888836</c:v>
                </c:pt>
                <c:pt idx="222">
                  <c:v>0.3208333333333328</c:v>
                </c:pt>
                <c:pt idx="223">
                  <c:v>0.32152777777777725</c:v>
                </c:pt>
                <c:pt idx="224">
                  <c:v>0.32222222222222169</c:v>
                </c:pt>
                <c:pt idx="225">
                  <c:v>0.32291666666666613</c:v>
                </c:pt>
                <c:pt idx="226">
                  <c:v>0.32361111111111057</c:v>
                </c:pt>
                <c:pt idx="227">
                  <c:v>0.32430555555555501</c:v>
                </c:pt>
                <c:pt idx="228">
                  <c:v>0.32499999999999946</c:v>
                </c:pt>
                <c:pt idx="229">
                  <c:v>0.3256944444444439</c:v>
                </c:pt>
                <c:pt idx="230">
                  <c:v>0.32638888888888834</c:v>
                </c:pt>
                <c:pt idx="231">
                  <c:v>0.32708333333333278</c:v>
                </c:pt>
                <c:pt idx="232">
                  <c:v>0.32777777777777722</c:v>
                </c:pt>
                <c:pt idx="233">
                  <c:v>0.32847222222222167</c:v>
                </c:pt>
                <c:pt idx="234">
                  <c:v>0.32916666666666611</c:v>
                </c:pt>
                <c:pt idx="235">
                  <c:v>0.32986111111111055</c:v>
                </c:pt>
                <c:pt idx="236">
                  <c:v>0.33055555555555499</c:v>
                </c:pt>
                <c:pt idx="237">
                  <c:v>0.33124999999999943</c:v>
                </c:pt>
                <c:pt idx="238">
                  <c:v>0.33194444444444388</c:v>
                </c:pt>
                <c:pt idx="239">
                  <c:v>0.33263888888888832</c:v>
                </c:pt>
                <c:pt idx="240">
                  <c:v>0.33333333333333276</c:v>
                </c:pt>
                <c:pt idx="241">
                  <c:v>0.3340277777777772</c:v>
                </c:pt>
                <c:pt idx="242">
                  <c:v>0.33472222222222164</c:v>
                </c:pt>
                <c:pt idx="243">
                  <c:v>0.33541666666666609</c:v>
                </c:pt>
                <c:pt idx="244">
                  <c:v>0.33611111111111053</c:v>
                </c:pt>
                <c:pt idx="245">
                  <c:v>0.33680555555555497</c:v>
                </c:pt>
                <c:pt idx="246">
                  <c:v>0.33749999999999941</c:v>
                </c:pt>
                <c:pt idx="247">
                  <c:v>0.33819444444444385</c:v>
                </c:pt>
                <c:pt idx="248">
                  <c:v>0.3388888888888883</c:v>
                </c:pt>
                <c:pt idx="249">
                  <c:v>0.33958333333333274</c:v>
                </c:pt>
                <c:pt idx="250">
                  <c:v>0.34027777777777718</c:v>
                </c:pt>
                <c:pt idx="251">
                  <c:v>0.34097222222222162</c:v>
                </c:pt>
                <c:pt idx="252">
                  <c:v>0.34166666666666606</c:v>
                </c:pt>
                <c:pt idx="253">
                  <c:v>0.34236111111111051</c:v>
                </c:pt>
                <c:pt idx="254">
                  <c:v>0.34305555555555495</c:v>
                </c:pt>
                <c:pt idx="255">
                  <c:v>0.34374999999999939</c:v>
                </c:pt>
                <c:pt idx="256">
                  <c:v>0.34444444444444383</c:v>
                </c:pt>
                <c:pt idx="257">
                  <c:v>0.34513888888888827</c:v>
                </c:pt>
                <c:pt idx="258">
                  <c:v>0.34583333333333272</c:v>
                </c:pt>
                <c:pt idx="259">
                  <c:v>0.34652777777777716</c:v>
                </c:pt>
                <c:pt idx="260">
                  <c:v>0.3472222222222216</c:v>
                </c:pt>
                <c:pt idx="261">
                  <c:v>0.34791666666666604</c:v>
                </c:pt>
                <c:pt idx="262">
                  <c:v>0.34861111111111048</c:v>
                </c:pt>
                <c:pt idx="263">
                  <c:v>0.34930555555555493</c:v>
                </c:pt>
                <c:pt idx="264">
                  <c:v>0.34999999999999937</c:v>
                </c:pt>
                <c:pt idx="265">
                  <c:v>0.35069444444444381</c:v>
                </c:pt>
                <c:pt idx="266">
                  <c:v>0.35138888888888825</c:v>
                </c:pt>
                <c:pt idx="267">
                  <c:v>0.35208333333333269</c:v>
                </c:pt>
                <c:pt idx="268">
                  <c:v>0.35277777777777714</c:v>
                </c:pt>
                <c:pt idx="269">
                  <c:v>0.35347222222222158</c:v>
                </c:pt>
                <c:pt idx="270">
                  <c:v>0.35416666666666602</c:v>
                </c:pt>
                <c:pt idx="271">
                  <c:v>0.35486111111111046</c:v>
                </c:pt>
                <c:pt idx="272">
                  <c:v>0.3555555555555549</c:v>
                </c:pt>
                <c:pt idx="273">
                  <c:v>0.35624999999999934</c:v>
                </c:pt>
                <c:pt idx="274">
                  <c:v>0.35694444444444379</c:v>
                </c:pt>
                <c:pt idx="275">
                  <c:v>0.35763888888888823</c:v>
                </c:pt>
                <c:pt idx="276">
                  <c:v>0.35833333333333267</c:v>
                </c:pt>
                <c:pt idx="277">
                  <c:v>0.35902777777777711</c:v>
                </c:pt>
                <c:pt idx="278">
                  <c:v>0.35972222222222155</c:v>
                </c:pt>
                <c:pt idx="279">
                  <c:v>0.360416666666666</c:v>
                </c:pt>
                <c:pt idx="280">
                  <c:v>0.36111111111111044</c:v>
                </c:pt>
                <c:pt idx="281">
                  <c:v>0.36180555555555488</c:v>
                </c:pt>
                <c:pt idx="282">
                  <c:v>0.36249999999999932</c:v>
                </c:pt>
                <c:pt idx="283">
                  <c:v>0.36319444444444376</c:v>
                </c:pt>
                <c:pt idx="284">
                  <c:v>0.36388888888888821</c:v>
                </c:pt>
                <c:pt idx="285">
                  <c:v>0.36458333333333265</c:v>
                </c:pt>
                <c:pt idx="286">
                  <c:v>0.36527777777777709</c:v>
                </c:pt>
                <c:pt idx="287">
                  <c:v>0.36597222222222153</c:v>
                </c:pt>
                <c:pt idx="288">
                  <c:v>0.36666666666666597</c:v>
                </c:pt>
                <c:pt idx="289">
                  <c:v>0.36736111111111042</c:v>
                </c:pt>
                <c:pt idx="290">
                  <c:v>0.36805555555555486</c:v>
                </c:pt>
                <c:pt idx="291">
                  <c:v>0.3687499999999993</c:v>
                </c:pt>
                <c:pt idx="292">
                  <c:v>0.36944444444444374</c:v>
                </c:pt>
                <c:pt idx="293">
                  <c:v>0.37013888888888818</c:v>
                </c:pt>
                <c:pt idx="294">
                  <c:v>0.37083333333333263</c:v>
                </c:pt>
                <c:pt idx="295">
                  <c:v>0.37152777777777707</c:v>
                </c:pt>
                <c:pt idx="296">
                  <c:v>0.37222222222222151</c:v>
                </c:pt>
                <c:pt idx="297">
                  <c:v>0.37291666666666595</c:v>
                </c:pt>
                <c:pt idx="298">
                  <c:v>0.37361111111111039</c:v>
                </c:pt>
                <c:pt idx="299">
                  <c:v>0.37430555555555484</c:v>
                </c:pt>
                <c:pt idx="300">
                  <c:v>0.37499999999999928</c:v>
                </c:pt>
                <c:pt idx="301">
                  <c:v>0.37569444444444372</c:v>
                </c:pt>
                <c:pt idx="302">
                  <c:v>0.37638888888888816</c:v>
                </c:pt>
                <c:pt idx="303">
                  <c:v>0.3770833333333326</c:v>
                </c:pt>
                <c:pt idx="304">
                  <c:v>0.37777777777777705</c:v>
                </c:pt>
                <c:pt idx="305">
                  <c:v>0.37847222222222149</c:v>
                </c:pt>
                <c:pt idx="306">
                  <c:v>0.37916666666666593</c:v>
                </c:pt>
                <c:pt idx="307">
                  <c:v>0.37986111111111037</c:v>
                </c:pt>
                <c:pt idx="308">
                  <c:v>0.38055555555555481</c:v>
                </c:pt>
                <c:pt idx="309">
                  <c:v>0.38124999999999926</c:v>
                </c:pt>
                <c:pt idx="310">
                  <c:v>0.3819444444444437</c:v>
                </c:pt>
                <c:pt idx="311">
                  <c:v>0.38263888888888814</c:v>
                </c:pt>
                <c:pt idx="312">
                  <c:v>0.38333333333333258</c:v>
                </c:pt>
                <c:pt idx="313">
                  <c:v>0.38402777777777702</c:v>
                </c:pt>
                <c:pt idx="314">
                  <c:v>0.38472222222222147</c:v>
                </c:pt>
                <c:pt idx="315">
                  <c:v>0.38541666666666591</c:v>
                </c:pt>
                <c:pt idx="316">
                  <c:v>0.38611111111111035</c:v>
                </c:pt>
                <c:pt idx="317">
                  <c:v>0.38680555555555479</c:v>
                </c:pt>
                <c:pt idx="318">
                  <c:v>0.38749999999999923</c:v>
                </c:pt>
                <c:pt idx="319">
                  <c:v>0.38819444444444368</c:v>
                </c:pt>
                <c:pt idx="320">
                  <c:v>0.38888888888888812</c:v>
                </c:pt>
                <c:pt idx="321">
                  <c:v>0.38958333333333256</c:v>
                </c:pt>
                <c:pt idx="322">
                  <c:v>0.390277777777777</c:v>
                </c:pt>
                <c:pt idx="323">
                  <c:v>0.39097222222222144</c:v>
                </c:pt>
                <c:pt idx="324">
                  <c:v>0.39166666666666589</c:v>
                </c:pt>
                <c:pt idx="325">
                  <c:v>0.39236111111111033</c:v>
                </c:pt>
                <c:pt idx="326">
                  <c:v>0.39305555555555477</c:v>
                </c:pt>
                <c:pt idx="327">
                  <c:v>0.39374999999999921</c:v>
                </c:pt>
                <c:pt idx="328">
                  <c:v>0.39444444444444365</c:v>
                </c:pt>
                <c:pt idx="329">
                  <c:v>0.3951388888888881</c:v>
                </c:pt>
                <c:pt idx="330">
                  <c:v>0.39583333333333254</c:v>
                </c:pt>
                <c:pt idx="331">
                  <c:v>0.39652777777777698</c:v>
                </c:pt>
                <c:pt idx="332">
                  <c:v>0.39722222222222142</c:v>
                </c:pt>
                <c:pt idx="333">
                  <c:v>0.39791666666666586</c:v>
                </c:pt>
                <c:pt idx="334">
                  <c:v>0.39861111111111031</c:v>
                </c:pt>
                <c:pt idx="335">
                  <c:v>0.39930555555555475</c:v>
                </c:pt>
                <c:pt idx="336">
                  <c:v>0.39999999999999919</c:v>
                </c:pt>
                <c:pt idx="337">
                  <c:v>0.40069444444444363</c:v>
                </c:pt>
                <c:pt idx="338">
                  <c:v>0.40138888888888807</c:v>
                </c:pt>
                <c:pt idx="339">
                  <c:v>0.40208333333333252</c:v>
                </c:pt>
                <c:pt idx="340">
                  <c:v>0.40277777777777696</c:v>
                </c:pt>
                <c:pt idx="341">
                  <c:v>0.4034722222222214</c:v>
                </c:pt>
                <c:pt idx="342">
                  <c:v>0.40416666666666584</c:v>
                </c:pt>
                <c:pt idx="343">
                  <c:v>0.40486111111111028</c:v>
                </c:pt>
                <c:pt idx="344">
                  <c:v>0.40555555555555473</c:v>
                </c:pt>
                <c:pt idx="345">
                  <c:v>0.40624999999999917</c:v>
                </c:pt>
                <c:pt idx="346">
                  <c:v>0.40694444444444361</c:v>
                </c:pt>
                <c:pt idx="347">
                  <c:v>0.40763888888888805</c:v>
                </c:pt>
                <c:pt idx="348">
                  <c:v>0.40833333333333249</c:v>
                </c:pt>
                <c:pt idx="349">
                  <c:v>0.40902777777777694</c:v>
                </c:pt>
                <c:pt idx="350">
                  <c:v>0.40972222222222138</c:v>
                </c:pt>
                <c:pt idx="351">
                  <c:v>0.41041666666666582</c:v>
                </c:pt>
                <c:pt idx="352">
                  <c:v>0.41111111111111026</c:v>
                </c:pt>
                <c:pt idx="353">
                  <c:v>0.4118055555555547</c:v>
                </c:pt>
                <c:pt idx="354">
                  <c:v>0.41249999999999915</c:v>
                </c:pt>
                <c:pt idx="355">
                  <c:v>0.41319444444444359</c:v>
                </c:pt>
                <c:pt idx="356">
                  <c:v>0.41388888888888803</c:v>
                </c:pt>
                <c:pt idx="357">
                  <c:v>0.41458333333333247</c:v>
                </c:pt>
                <c:pt idx="358">
                  <c:v>0.41527777777777691</c:v>
                </c:pt>
                <c:pt idx="359">
                  <c:v>0.41597222222222136</c:v>
                </c:pt>
                <c:pt idx="360">
                  <c:v>0.4166666666666658</c:v>
                </c:pt>
                <c:pt idx="361">
                  <c:v>0.41736111111111024</c:v>
                </c:pt>
                <c:pt idx="362">
                  <c:v>0.41805555555555468</c:v>
                </c:pt>
                <c:pt idx="363">
                  <c:v>0.41874999999999912</c:v>
                </c:pt>
                <c:pt idx="364">
                  <c:v>0.41944444444444356</c:v>
                </c:pt>
                <c:pt idx="365">
                  <c:v>0.42013888888888801</c:v>
                </c:pt>
                <c:pt idx="366">
                  <c:v>0.42083333333333245</c:v>
                </c:pt>
                <c:pt idx="367">
                  <c:v>0.42152777777777689</c:v>
                </c:pt>
                <c:pt idx="368">
                  <c:v>0.42222222222222133</c:v>
                </c:pt>
                <c:pt idx="369">
                  <c:v>0.42291666666666577</c:v>
                </c:pt>
                <c:pt idx="370">
                  <c:v>0.42361111111111022</c:v>
                </c:pt>
                <c:pt idx="371">
                  <c:v>0.42430555555555466</c:v>
                </c:pt>
                <c:pt idx="372">
                  <c:v>0.4249999999999991</c:v>
                </c:pt>
                <c:pt idx="373">
                  <c:v>0.42569444444444354</c:v>
                </c:pt>
                <c:pt idx="374">
                  <c:v>0.42638888888888798</c:v>
                </c:pt>
                <c:pt idx="375">
                  <c:v>0.42708333333333243</c:v>
                </c:pt>
                <c:pt idx="376">
                  <c:v>0.42777777777777687</c:v>
                </c:pt>
                <c:pt idx="377">
                  <c:v>0.42847222222222131</c:v>
                </c:pt>
                <c:pt idx="378">
                  <c:v>0.42916666666666575</c:v>
                </c:pt>
                <c:pt idx="379">
                  <c:v>0.42986111111111019</c:v>
                </c:pt>
                <c:pt idx="380">
                  <c:v>0.43055555555555464</c:v>
                </c:pt>
                <c:pt idx="381">
                  <c:v>0.43124999999999908</c:v>
                </c:pt>
                <c:pt idx="382">
                  <c:v>0.43194444444444352</c:v>
                </c:pt>
                <c:pt idx="383">
                  <c:v>0.43263888888888796</c:v>
                </c:pt>
                <c:pt idx="384">
                  <c:v>0.4333333333333324</c:v>
                </c:pt>
                <c:pt idx="385">
                  <c:v>0.43402777777777685</c:v>
                </c:pt>
                <c:pt idx="386">
                  <c:v>0.43472222222222129</c:v>
                </c:pt>
                <c:pt idx="387">
                  <c:v>0.43541666666666573</c:v>
                </c:pt>
                <c:pt idx="388">
                  <c:v>0.43611111111111017</c:v>
                </c:pt>
                <c:pt idx="389">
                  <c:v>0.43680555555555461</c:v>
                </c:pt>
                <c:pt idx="390">
                  <c:v>0.43749999999999906</c:v>
                </c:pt>
                <c:pt idx="391">
                  <c:v>0.4381944444444435</c:v>
                </c:pt>
                <c:pt idx="392">
                  <c:v>0.43888888888888794</c:v>
                </c:pt>
                <c:pt idx="393">
                  <c:v>0.43958333333333238</c:v>
                </c:pt>
                <c:pt idx="394">
                  <c:v>0.44027777777777682</c:v>
                </c:pt>
                <c:pt idx="395">
                  <c:v>0.44097222222222127</c:v>
                </c:pt>
                <c:pt idx="396">
                  <c:v>0.44166666666666571</c:v>
                </c:pt>
                <c:pt idx="397">
                  <c:v>0.44236111111111015</c:v>
                </c:pt>
                <c:pt idx="398">
                  <c:v>0.44305555555555459</c:v>
                </c:pt>
                <c:pt idx="399">
                  <c:v>0.44374999999999903</c:v>
                </c:pt>
                <c:pt idx="400">
                  <c:v>0.44444444444444348</c:v>
                </c:pt>
                <c:pt idx="401">
                  <c:v>0.44513888888888792</c:v>
                </c:pt>
                <c:pt idx="402">
                  <c:v>0.44583333333333236</c:v>
                </c:pt>
                <c:pt idx="403">
                  <c:v>0.4465277777777768</c:v>
                </c:pt>
                <c:pt idx="404">
                  <c:v>0.44722222222222124</c:v>
                </c:pt>
                <c:pt idx="405">
                  <c:v>0.44791666666666569</c:v>
                </c:pt>
                <c:pt idx="406">
                  <c:v>0.44861111111111013</c:v>
                </c:pt>
                <c:pt idx="407">
                  <c:v>0.44930555555555457</c:v>
                </c:pt>
                <c:pt idx="408">
                  <c:v>0.44999999999999901</c:v>
                </c:pt>
                <c:pt idx="409">
                  <c:v>0.45069444444444345</c:v>
                </c:pt>
                <c:pt idx="410">
                  <c:v>0.4513888888888879</c:v>
                </c:pt>
                <c:pt idx="411">
                  <c:v>0.45208333333333234</c:v>
                </c:pt>
                <c:pt idx="412">
                  <c:v>0.45277777777777678</c:v>
                </c:pt>
                <c:pt idx="413">
                  <c:v>0.45347222222222122</c:v>
                </c:pt>
                <c:pt idx="414">
                  <c:v>0.45416666666666566</c:v>
                </c:pt>
                <c:pt idx="415">
                  <c:v>0.45486111111111011</c:v>
                </c:pt>
                <c:pt idx="416">
                  <c:v>0.45555555555555455</c:v>
                </c:pt>
                <c:pt idx="417">
                  <c:v>0.45624999999999899</c:v>
                </c:pt>
                <c:pt idx="418">
                  <c:v>0.45694444444444343</c:v>
                </c:pt>
                <c:pt idx="419">
                  <c:v>0.45763888888888787</c:v>
                </c:pt>
                <c:pt idx="420">
                  <c:v>0.45833333333333232</c:v>
                </c:pt>
                <c:pt idx="421">
                  <c:v>0.45902777777777676</c:v>
                </c:pt>
                <c:pt idx="422">
                  <c:v>0.4597222222222212</c:v>
                </c:pt>
                <c:pt idx="423">
                  <c:v>0.46041666666666564</c:v>
                </c:pt>
                <c:pt idx="424">
                  <c:v>0.46111111111111008</c:v>
                </c:pt>
                <c:pt idx="425">
                  <c:v>0.46180555555555453</c:v>
                </c:pt>
                <c:pt idx="426">
                  <c:v>0.46249999999999897</c:v>
                </c:pt>
                <c:pt idx="427">
                  <c:v>0.46319444444444341</c:v>
                </c:pt>
                <c:pt idx="428">
                  <c:v>0.46388888888888785</c:v>
                </c:pt>
                <c:pt idx="429">
                  <c:v>0.46458333333333229</c:v>
                </c:pt>
                <c:pt idx="430">
                  <c:v>0.46527777777777674</c:v>
                </c:pt>
                <c:pt idx="431">
                  <c:v>0.46597222222222118</c:v>
                </c:pt>
                <c:pt idx="432">
                  <c:v>0.46666666666666562</c:v>
                </c:pt>
                <c:pt idx="433">
                  <c:v>0.46736111111111006</c:v>
                </c:pt>
                <c:pt idx="434">
                  <c:v>0.4680555555555545</c:v>
                </c:pt>
                <c:pt idx="435">
                  <c:v>0.46874999999999895</c:v>
                </c:pt>
                <c:pt idx="436">
                  <c:v>0.46944444444444339</c:v>
                </c:pt>
                <c:pt idx="437">
                  <c:v>0.47013888888888783</c:v>
                </c:pt>
                <c:pt idx="438">
                  <c:v>0.47083333333333227</c:v>
                </c:pt>
                <c:pt idx="439">
                  <c:v>0.47152777777777671</c:v>
                </c:pt>
                <c:pt idx="440">
                  <c:v>0.47222222222222116</c:v>
                </c:pt>
                <c:pt idx="441">
                  <c:v>0.4729166666666656</c:v>
                </c:pt>
                <c:pt idx="442">
                  <c:v>0.47361111111111004</c:v>
                </c:pt>
                <c:pt idx="443">
                  <c:v>0.47430555555555448</c:v>
                </c:pt>
                <c:pt idx="444">
                  <c:v>0.47499999999999892</c:v>
                </c:pt>
                <c:pt idx="445">
                  <c:v>0.47569444444444337</c:v>
                </c:pt>
                <c:pt idx="446">
                  <c:v>0.47638888888888781</c:v>
                </c:pt>
                <c:pt idx="447">
                  <c:v>0.47708333333333225</c:v>
                </c:pt>
                <c:pt idx="448">
                  <c:v>0.47777777777777669</c:v>
                </c:pt>
                <c:pt idx="449">
                  <c:v>0.47847222222222113</c:v>
                </c:pt>
                <c:pt idx="450">
                  <c:v>0.47916666666666557</c:v>
                </c:pt>
                <c:pt idx="451">
                  <c:v>0.47986111111111002</c:v>
                </c:pt>
                <c:pt idx="452">
                  <c:v>0.48055555555555446</c:v>
                </c:pt>
                <c:pt idx="453">
                  <c:v>0.4812499999999989</c:v>
                </c:pt>
                <c:pt idx="454">
                  <c:v>0.48194444444444334</c:v>
                </c:pt>
                <c:pt idx="455">
                  <c:v>0.48263888888888778</c:v>
                </c:pt>
                <c:pt idx="456">
                  <c:v>0.48333333333333223</c:v>
                </c:pt>
                <c:pt idx="457">
                  <c:v>0.48402777777777667</c:v>
                </c:pt>
                <c:pt idx="458">
                  <c:v>0.48472222222222111</c:v>
                </c:pt>
                <c:pt idx="459">
                  <c:v>0.48541666666666555</c:v>
                </c:pt>
                <c:pt idx="460">
                  <c:v>0.48611111111110999</c:v>
                </c:pt>
                <c:pt idx="461">
                  <c:v>0.48680555555555444</c:v>
                </c:pt>
                <c:pt idx="462">
                  <c:v>0.48749999999999888</c:v>
                </c:pt>
                <c:pt idx="463">
                  <c:v>0.48819444444444332</c:v>
                </c:pt>
                <c:pt idx="464">
                  <c:v>0.48888888888888776</c:v>
                </c:pt>
                <c:pt idx="465">
                  <c:v>0.4895833333333322</c:v>
                </c:pt>
                <c:pt idx="466">
                  <c:v>0.49027777777777665</c:v>
                </c:pt>
                <c:pt idx="467">
                  <c:v>0.49097222222222109</c:v>
                </c:pt>
                <c:pt idx="468">
                  <c:v>0.49166666666666553</c:v>
                </c:pt>
                <c:pt idx="469">
                  <c:v>0.49236111111110997</c:v>
                </c:pt>
                <c:pt idx="470">
                  <c:v>0.49305555555555441</c:v>
                </c:pt>
                <c:pt idx="471">
                  <c:v>0.49374999999999886</c:v>
                </c:pt>
                <c:pt idx="472">
                  <c:v>0.4944444444444433</c:v>
                </c:pt>
                <c:pt idx="473">
                  <c:v>0.49513888888888774</c:v>
                </c:pt>
                <c:pt idx="474">
                  <c:v>0.49583333333333218</c:v>
                </c:pt>
                <c:pt idx="475">
                  <c:v>0.49652777777777662</c:v>
                </c:pt>
                <c:pt idx="476">
                  <c:v>0.49722222222222107</c:v>
                </c:pt>
                <c:pt idx="477">
                  <c:v>0.49791666666666551</c:v>
                </c:pt>
                <c:pt idx="478">
                  <c:v>0.49861111111110995</c:v>
                </c:pt>
                <c:pt idx="479">
                  <c:v>0.49930555555555439</c:v>
                </c:pt>
                <c:pt idx="480">
                  <c:v>0.49999999999999883</c:v>
                </c:pt>
                <c:pt idx="481">
                  <c:v>0.50069444444444333</c:v>
                </c:pt>
                <c:pt idx="482">
                  <c:v>0.50138888888888777</c:v>
                </c:pt>
                <c:pt idx="483">
                  <c:v>0.50208333333333222</c:v>
                </c:pt>
                <c:pt idx="484">
                  <c:v>0.50277777777777666</c:v>
                </c:pt>
                <c:pt idx="485">
                  <c:v>0.5034722222222211</c:v>
                </c:pt>
                <c:pt idx="486">
                  <c:v>0.50416666666666554</c:v>
                </c:pt>
                <c:pt idx="487">
                  <c:v>0.50486111111110998</c:v>
                </c:pt>
                <c:pt idx="488">
                  <c:v>0.50555555555555443</c:v>
                </c:pt>
                <c:pt idx="489">
                  <c:v>0.50624999999999887</c:v>
                </c:pt>
                <c:pt idx="490">
                  <c:v>0.50694444444444331</c:v>
                </c:pt>
                <c:pt idx="491">
                  <c:v>0.50763888888888775</c:v>
                </c:pt>
                <c:pt idx="492">
                  <c:v>0.50833333333333219</c:v>
                </c:pt>
                <c:pt idx="493">
                  <c:v>0.50902777777777664</c:v>
                </c:pt>
                <c:pt idx="494">
                  <c:v>0.50972222222222108</c:v>
                </c:pt>
                <c:pt idx="495">
                  <c:v>0.51041666666666552</c:v>
                </c:pt>
                <c:pt idx="496">
                  <c:v>0.51111111111110996</c:v>
                </c:pt>
                <c:pt idx="497">
                  <c:v>0.5118055555555544</c:v>
                </c:pt>
                <c:pt idx="498">
                  <c:v>0.51249999999999885</c:v>
                </c:pt>
                <c:pt idx="499">
                  <c:v>0.51319444444444329</c:v>
                </c:pt>
                <c:pt idx="500">
                  <c:v>0.51388888888888773</c:v>
                </c:pt>
                <c:pt idx="501">
                  <c:v>0.51458333333333217</c:v>
                </c:pt>
                <c:pt idx="502">
                  <c:v>0.51527777777777661</c:v>
                </c:pt>
                <c:pt idx="503">
                  <c:v>0.51597222222222106</c:v>
                </c:pt>
                <c:pt idx="504">
                  <c:v>0.5166666666666655</c:v>
                </c:pt>
                <c:pt idx="505">
                  <c:v>0.51736111111110994</c:v>
                </c:pt>
                <c:pt idx="506">
                  <c:v>0.51805555555555438</c:v>
                </c:pt>
                <c:pt idx="507">
                  <c:v>0.51874999999999882</c:v>
                </c:pt>
                <c:pt idx="508">
                  <c:v>0.51944444444444327</c:v>
                </c:pt>
                <c:pt idx="509">
                  <c:v>0.52013888888888771</c:v>
                </c:pt>
                <c:pt idx="510">
                  <c:v>0.52083333333333215</c:v>
                </c:pt>
                <c:pt idx="511">
                  <c:v>0.52152777777777659</c:v>
                </c:pt>
                <c:pt idx="512">
                  <c:v>0.52222222222222103</c:v>
                </c:pt>
                <c:pt idx="513">
                  <c:v>0.52291666666666548</c:v>
                </c:pt>
                <c:pt idx="514">
                  <c:v>0.52361111111110992</c:v>
                </c:pt>
                <c:pt idx="515">
                  <c:v>0.52430555555555436</c:v>
                </c:pt>
                <c:pt idx="516">
                  <c:v>0.5249999999999988</c:v>
                </c:pt>
                <c:pt idx="517">
                  <c:v>0.52569444444444324</c:v>
                </c:pt>
                <c:pt idx="518">
                  <c:v>0.52638888888888768</c:v>
                </c:pt>
                <c:pt idx="519">
                  <c:v>0.52708333333333213</c:v>
                </c:pt>
                <c:pt idx="520">
                  <c:v>0.52777777777777657</c:v>
                </c:pt>
                <c:pt idx="521">
                  <c:v>0.52847222222222101</c:v>
                </c:pt>
                <c:pt idx="522">
                  <c:v>0.52916666666666545</c:v>
                </c:pt>
                <c:pt idx="523">
                  <c:v>0.52986111111110989</c:v>
                </c:pt>
                <c:pt idx="524">
                  <c:v>0.53055555555555434</c:v>
                </c:pt>
                <c:pt idx="525">
                  <c:v>0.53124999999999878</c:v>
                </c:pt>
                <c:pt idx="526">
                  <c:v>0.53194444444444322</c:v>
                </c:pt>
                <c:pt idx="527">
                  <c:v>0.53263888888888766</c:v>
                </c:pt>
                <c:pt idx="528">
                  <c:v>0.5333333333333321</c:v>
                </c:pt>
                <c:pt idx="529">
                  <c:v>0.53402777777777655</c:v>
                </c:pt>
                <c:pt idx="530">
                  <c:v>0.53472222222222099</c:v>
                </c:pt>
                <c:pt idx="531">
                  <c:v>0.53541666666666543</c:v>
                </c:pt>
                <c:pt idx="532">
                  <c:v>0.53611111111110987</c:v>
                </c:pt>
                <c:pt idx="533">
                  <c:v>0.53680555555555431</c:v>
                </c:pt>
                <c:pt idx="534">
                  <c:v>0.53749999999999876</c:v>
                </c:pt>
                <c:pt idx="535">
                  <c:v>0.5381944444444432</c:v>
                </c:pt>
                <c:pt idx="536">
                  <c:v>0.53888888888888764</c:v>
                </c:pt>
                <c:pt idx="537">
                  <c:v>0.53958333333333208</c:v>
                </c:pt>
                <c:pt idx="538">
                  <c:v>0.54027777777777652</c:v>
                </c:pt>
                <c:pt idx="539">
                  <c:v>0.54097222222222097</c:v>
                </c:pt>
                <c:pt idx="540">
                  <c:v>0.54166666666666541</c:v>
                </c:pt>
                <c:pt idx="541">
                  <c:v>0.54236111111110985</c:v>
                </c:pt>
                <c:pt idx="542">
                  <c:v>0.54305555555555429</c:v>
                </c:pt>
                <c:pt idx="543">
                  <c:v>0.54374999999999873</c:v>
                </c:pt>
                <c:pt idx="544">
                  <c:v>0.54444444444444318</c:v>
                </c:pt>
                <c:pt idx="545">
                  <c:v>0.54513888888888762</c:v>
                </c:pt>
                <c:pt idx="546">
                  <c:v>0.54583333333333206</c:v>
                </c:pt>
                <c:pt idx="547">
                  <c:v>0.5465277777777765</c:v>
                </c:pt>
                <c:pt idx="548">
                  <c:v>0.54722222222222094</c:v>
                </c:pt>
                <c:pt idx="549">
                  <c:v>0.54791666666666539</c:v>
                </c:pt>
                <c:pt idx="550">
                  <c:v>0.54861111111110983</c:v>
                </c:pt>
                <c:pt idx="551">
                  <c:v>0.54930555555555427</c:v>
                </c:pt>
                <c:pt idx="552">
                  <c:v>0.54999999999999871</c:v>
                </c:pt>
                <c:pt idx="553">
                  <c:v>0.55069444444444315</c:v>
                </c:pt>
                <c:pt idx="554">
                  <c:v>0.5513888888888876</c:v>
                </c:pt>
                <c:pt idx="555">
                  <c:v>0.55208333333333204</c:v>
                </c:pt>
                <c:pt idx="556">
                  <c:v>0.55277777777777648</c:v>
                </c:pt>
                <c:pt idx="557">
                  <c:v>0.55347222222222092</c:v>
                </c:pt>
                <c:pt idx="558">
                  <c:v>0.55416666666666536</c:v>
                </c:pt>
                <c:pt idx="559">
                  <c:v>0.55486111111110981</c:v>
                </c:pt>
                <c:pt idx="560">
                  <c:v>0.55555555555555425</c:v>
                </c:pt>
                <c:pt idx="561">
                  <c:v>0.55624999999999869</c:v>
                </c:pt>
                <c:pt idx="562">
                  <c:v>0.55694444444444313</c:v>
                </c:pt>
                <c:pt idx="563">
                  <c:v>0.55763888888888757</c:v>
                </c:pt>
                <c:pt idx="564">
                  <c:v>0.55833333333333202</c:v>
                </c:pt>
                <c:pt idx="565">
                  <c:v>0.55902777777777646</c:v>
                </c:pt>
                <c:pt idx="566">
                  <c:v>0.5597222222222209</c:v>
                </c:pt>
                <c:pt idx="567">
                  <c:v>0.56041666666666534</c:v>
                </c:pt>
                <c:pt idx="568">
                  <c:v>0.56111111111110978</c:v>
                </c:pt>
                <c:pt idx="569">
                  <c:v>0.56180555555555423</c:v>
                </c:pt>
                <c:pt idx="570">
                  <c:v>0.56249999999999867</c:v>
                </c:pt>
                <c:pt idx="571">
                  <c:v>0.56319444444444311</c:v>
                </c:pt>
                <c:pt idx="572">
                  <c:v>0.56388888888888755</c:v>
                </c:pt>
                <c:pt idx="573">
                  <c:v>0.56458333333333199</c:v>
                </c:pt>
                <c:pt idx="574">
                  <c:v>0.56527777777777644</c:v>
                </c:pt>
                <c:pt idx="575">
                  <c:v>0.56597222222222088</c:v>
                </c:pt>
                <c:pt idx="576">
                  <c:v>0.56666666666666532</c:v>
                </c:pt>
                <c:pt idx="577">
                  <c:v>0.56736111111110976</c:v>
                </c:pt>
                <c:pt idx="578">
                  <c:v>0.5680555555555542</c:v>
                </c:pt>
                <c:pt idx="579">
                  <c:v>0.56874999999999865</c:v>
                </c:pt>
                <c:pt idx="580">
                  <c:v>0.56944444444444309</c:v>
                </c:pt>
                <c:pt idx="581">
                  <c:v>0.57013888888888753</c:v>
                </c:pt>
                <c:pt idx="582">
                  <c:v>0.57083333333333197</c:v>
                </c:pt>
                <c:pt idx="583">
                  <c:v>0.57152777777777641</c:v>
                </c:pt>
                <c:pt idx="584">
                  <c:v>0.57222222222222086</c:v>
                </c:pt>
                <c:pt idx="585">
                  <c:v>0.5729166666666653</c:v>
                </c:pt>
                <c:pt idx="586">
                  <c:v>0.57361111111110974</c:v>
                </c:pt>
                <c:pt idx="587">
                  <c:v>0.57430555555555418</c:v>
                </c:pt>
                <c:pt idx="588">
                  <c:v>0.57499999999999862</c:v>
                </c:pt>
                <c:pt idx="589">
                  <c:v>0.57569444444444307</c:v>
                </c:pt>
                <c:pt idx="590">
                  <c:v>0.57638888888888751</c:v>
                </c:pt>
                <c:pt idx="591">
                  <c:v>0.57708333333333195</c:v>
                </c:pt>
                <c:pt idx="592">
                  <c:v>0.57777777777777639</c:v>
                </c:pt>
                <c:pt idx="593">
                  <c:v>0.57847222222222083</c:v>
                </c:pt>
                <c:pt idx="594">
                  <c:v>0.57916666666666528</c:v>
                </c:pt>
                <c:pt idx="595">
                  <c:v>0.57986111111110972</c:v>
                </c:pt>
                <c:pt idx="596">
                  <c:v>0.58055555555555416</c:v>
                </c:pt>
                <c:pt idx="597">
                  <c:v>0.5812499999999986</c:v>
                </c:pt>
                <c:pt idx="598">
                  <c:v>0.58194444444444304</c:v>
                </c:pt>
                <c:pt idx="599">
                  <c:v>0.58263888888888749</c:v>
                </c:pt>
                <c:pt idx="600">
                  <c:v>0.58333333333333193</c:v>
                </c:pt>
                <c:pt idx="601">
                  <c:v>0.58402777777777637</c:v>
                </c:pt>
                <c:pt idx="602">
                  <c:v>0.58472222222222081</c:v>
                </c:pt>
                <c:pt idx="603">
                  <c:v>0.58541666666666525</c:v>
                </c:pt>
                <c:pt idx="604">
                  <c:v>0.58611111111110969</c:v>
                </c:pt>
                <c:pt idx="605">
                  <c:v>0.58680555555555414</c:v>
                </c:pt>
                <c:pt idx="606">
                  <c:v>0.58749999999999858</c:v>
                </c:pt>
                <c:pt idx="607">
                  <c:v>0.58819444444444302</c:v>
                </c:pt>
                <c:pt idx="608">
                  <c:v>0.58888888888888746</c:v>
                </c:pt>
                <c:pt idx="609">
                  <c:v>0.5895833333333319</c:v>
                </c:pt>
                <c:pt idx="610">
                  <c:v>0.59027777777777635</c:v>
                </c:pt>
                <c:pt idx="611">
                  <c:v>0.59097222222222079</c:v>
                </c:pt>
                <c:pt idx="612">
                  <c:v>0.59166666666666523</c:v>
                </c:pt>
                <c:pt idx="613">
                  <c:v>0.59236111111110967</c:v>
                </c:pt>
                <c:pt idx="614">
                  <c:v>0.59305555555555411</c:v>
                </c:pt>
                <c:pt idx="615">
                  <c:v>0.59374999999999856</c:v>
                </c:pt>
                <c:pt idx="616">
                  <c:v>0.594444444444443</c:v>
                </c:pt>
                <c:pt idx="617">
                  <c:v>0.59513888888888744</c:v>
                </c:pt>
                <c:pt idx="618">
                  <c:v>0.59583333333333188</c:v>
                </c:pt>
                <c:pt idx="619">
                  <c:v>0.59652777777777632</c:v>
                </c:pt>
                <c:pt idx="620">
                  <c:v>0.59722222222222077</c:v>
                </c:pt>
                <c:pt idx="621">
                  <c:v>0.59791666666666521</c:v>
                </c:pt>
                <c:pt idx="622">
                  <c:v>0.59861111111110965</c:v>
                </c:pt>
                <c:pt idx="623">
                  <c:v>0.59930555555555409</c:v>
                </c:pt>
                <c:pt idx="624">
                  <c:v>0.59999999999999853</c:v>
                </c:pt>
                <c:pt idx="625">
                  <c:v>0.60069444444444298</c:v>
                </c:pt>
                <c:pt idx="626">
                  <c:v>0.60138888888888742</c:v>
                </c:pt>
                <c:pt idx="627">
                  <c:v>0.60208333333333186</c:v>
                </c:pt>
                <c:pt idx="628">
                  <c:v>0.6027777777777763</c:v>
                </c:pt>
                <c:pt idx="629">
                  <c:v>0.60347222222222074</c:v>
                </c:pt>
                <c:pt idx="630">
                  <c:v>0.60416666666666519</c:v>
                </c:pt>
                <c:pt idx="631">
                  <c:v>0.60486111111110963</c:v>
                </c:pt>
                <c:pt idx="632">
                  <c:v>0.60555555555555407</c:v>
                </c:pt>
                <c:pt idx="633">
                  <c:v>0.60624999999999851</c:v>
                </c:pt>
                <c:pt idx="634">
                  <c:v>0.60694444444444295</c:v>
                </c:pt>
                <c:pt idx="635">
                  <c:v>0.6076388888888874</c:v>
                </c:pt>
                <c:pt idx="636">
                  <c:v>0.60833333333333184</c:v>
                </c:pt>
                <c:pt idx="637">
                  <c:v>0.60902777777777628</c:v>
                </c:pt>
                <c:pt idx="638">
                  <c:v>0.60972222222222072</c:v>
                </c:pt>
                <c:pt idx="639">
                  <c:v>0.61041666666666516</c:v>
                </c:pt>
                <c:pt idx="640">
                  <c:v>0.61111111111110961</c:v>
                </c:pt>
                <c:pt idx="641">
                  <c:v>0.61180555555555405</c:v>
                </c:pt>
                <c:pt idx="642">
                  <c:v>0.61249999999999849</c:v>
                </c:pt>
                <c:pt idx="643">
                  <c:v>0.61319444444444293</c:v>
                </c:pt>
                <c:pt idx="644">
                  <c:v>0.61388888888888737</c:v>
                </c:pt>
                <c:pt idx="645">
                  <c:v>0.61458333333333182</c:v>
                </c:pt>
                <c:pt idx="646">
                  <c:v>0.61527777777777626</c:v>
                </c:pt>
                <c:pt idx="647">
                  <c:v>0.6159722222222207</c:v>
                </c:pt>
                <c:pt idx="648">
                  <c:v>0.61666666666666514</c:v>
                </c:pt>
                <c:pt idx="649">
                  <c:v>0.61736111111110958</c:v>
                </c:pt>
                <c:pt idx="650">
                  <c:v>0.61805555555555403</c:v>
                </c:pt>
                <c:pt idx="651">
                  <c:v>0.61874999999999847</c:v>
                </c:pt>
                <c:pt idx="652">
                  <c:v>0.61944444444444291</c:v>
                </c:pt>
                <c:pt idx="653">
                  <c:v>0.62013888888888735</c:v>
                </c:pt>
                <c:pt idx="654">
                  <c:v>0.62083333333333179</c:v>
                </c:pt>
                <c:pt idx="655">
                  <c:v>0.62152777777777624</c:v>
                </c:pt>
                <c:pt idx="656">
                  <c:v>0.62222222222222068</c:v>
                </c:pt>
                <c:pt idx="657">
                  <c:v>0.62291666666666512</c:v>
                </c:pt>
                <c:pt idx="658">
                  <c:v>0.62361111111110956</c:v>
                </c:pt>
                <c:pt idx="659">
                  <c:v>0.624305555555554</c:v>
                </c:pt>
                <c:pt idx="660">
                  <c:v>0.62499999999999845</c:v>
                </c:pt>
                <c:pt idx="661">
                  <c:v>0.62569444444444289</c:v>
                </c:pt>
                <c:pt idx="662">
                  <c:v>0.62638888888888733</c:v>
                </c:pt>
                <c:pt idx="663">
                  <c:v>0.62708333333333177</c:v>
                </c:pt>
                <c:pt idx="664">
                  <c:v>0.62777777777777621</c:v>
                </c:pt>
                <c:pt idx="665">
                  <c:v>0.62847222222222066</c:v>
                </c:pt>
                <c:pt idx="666">
                  <c:v>0.6291666666666651</c:v>
                </c:pt>
                <c:pt idx="667">
                  <c:v>0.62986111111110954</c:v>
                </c:pt>
                <c:pt idx="668">
                  <c:v>0.63055555555555398</c:v>
                </c:pt>
                <c:pt idx="669">
                  <c:v>0.63124999999999842</c:v>
                </c:pt>
                <c:pt idx="670">
                  <c:v>0.63194444444444287</c:v>
                </c:pt>
                <c:pt idx="671">
                  <c:v>0.63263888888888731</c:v>
                </c:pt>
                <c:pt idx="672">
                  <c:v>0.63333333333333175</c:v>
                </c:pt>
                <c:pt idx="673">
                  <c:v>0.63402777777777619</c:v>
                </c:pt>
                <c:pt idx="674">
                  <c:v>0.63472222222222063</c:v>
                </c:pt>
                <c:pt idx="675">
                  <c:v>0.63541666666666508</c:v>
                </c:pt>
                <c:pt idx="676">
                  <c:v>0.63611111111110952</c:v>
                </c:pt>
                <c:pt idx="677">
                  <c:v>0.63680555555555396</c:v>
                </c:pt>
                <c:pt idx="678">
                  <c:v>0.6374999999999984</c:v>
                </c:pt>
                <c:pt idx="679">
                  <c:v>0.63819444444444284</c:v>
                </c:pt>
                <c:pt idx="680">
                  <c:v>0.63888888888888729</c:v>
                </c:pt>
                <c:pt idx="681">
                  <c:v>0.63958333333333173</c:v>
                </c:pt>
                <c:pt idx="682">
                  <c:v>0.64027777777777617</c:v>
                </c:pt>
                <c:pt idx="683">
                  <c:v>0.64097222222222061</c:v>
                </c:pt>
                <c:pt idx="684">
                  <c:v>0.64166666666666505</c:v>
                </c:pt>
                <c:pt idx="685">
                  <c:v>0.6423611111111095</c:v>
                </c:pt>
                <c:pt idx="686">
                  <c:v>0.64305555555555394</c:v>
                </c:pt>
                <c:pt idx="687">
                  <c:v>0.64374999999999838</c:v>
                </c:pt>
                <c:pt idx="688">
                  <c:v>0.64444444444444282</c:v>
                </c:pt>
                <c:pt idx="689">
                  <c:v>0.64513888888888726</c:v>
                </c:pt>
                <c:pt idx="690">
                  <c:v>0.64583333333333171</c:v>
                </c:pt>
                <c:pt idx="691">
                  <c:v>0.64652777777777615</c:v>
                </c:pt>
                <c:pt idx="692">
                  <c:v>0.64722222222222059</c:v>
                </c:pt>
                <c:pt idx="693">
                  <c:v>0.64791666666666503</c:v>
                </c:pt>
                <c:pt idx="694">
                  <c:v>0.64861111111110947</c:v>
                </c:pt>
                <c:pt idx="695">
                  <c:v>0.64930555555555391</c:v>
                </c:pt>
                <c:pt idx="696">
                  <c:v>0.64999999999999836</c:v>
                </c:pt>
                <c:pt idx="697">
                  <c:v>0.6506944444444428</c:v>
                </c:pt>
                <c:pt idx="698">
                  <c:v>0.65138888888888724</c:v>
                </c:pt>
                <c:pt idx="699">
                  <c:v>0.65208333333333168</c:v>
                </c:pt>
                <c:pt idx="700">
                  <c:v>0.65277777777777612</c:v>
                </c:pt>
                <c:pt idx="701">
                  <c:v>0.65347222222222057</c:v>
                </c:pt>
                <c:pt idx="702">
                  <c:v>0.65416666666666501</c:v>
                </c:pt>
                <c:pt idx="703">
                  <c:v>0.65486111111110945</c:v>
                </c:pt>
                <c:pt idx="704">
                  <c:v>0.65555555555555389</c:v>
                </c:pt>
                <c:pt idx="705">
                  <c:v>0.65624999999999833</c:v>
                </c:pt>
                <c:pt idx="706">
                  <c:v>0.65694444444444278</c:v>
                </c:pt>
                <c:pt idx="707">
                  <c:v>0.65763888888888722</c:v>
                </c:pt>
                <c:pt idx="708">
                  <c:v>0.65833333333333166</c:v>
                </c:pt>
                <c:pt idx="709">
                  <c:v>0.6590277777777761</c:v>
                </c:pt>
                <c:pt idx="710">
                  <c:v>0.65972222222222054</c:v>
                </c:pt>
                <c:pt idx="711">
                  <c:v>0.66041666666666499</c:v>
                </c:pt>
                <c:pt idx="712">
                  <c:v>0.66111111111110943</c:v>
                </c:pt>
                <c:pt idx="713">
                  <c:v>0.66180555555555387</c:v>
                </c:pt>
                <c:pt idx="714">
                  <c:v>0.66249999999999831</c:v>
                </c:pt>
                <c:pt idx="715">
                  <c:v>0.66319444444444275</c:v>
                </c:pt>
                <c:pt idx="716">
                  <c:v>0.6638888888888872</c:v>
                </c:pt>
                <c:pt idx="717">
                  <c:v>0.66458333333333164</c:v>
                </c:pt>
                <c:pt idx="718">
                  <c:v>0.66527777777777608</c:v>
                </c:pt>
                <c:pt idx="719">
                  <c:v>0.66597222222222052</c:v>
                </c:pt>
                <c:pt idx="720">
                  <c:v>0.66666666666666496</c:v>
                </c:pt>
                <c:pt idx="721">
                  <c:v>0.66736111111110941</c:v>
                </c:pt>
                <c:pt idx="722">
                  <c:v>0.66805555555555385</c:v>
                </c:pt>
                <c:pt idx="723">
                  <c:v>0.66874999999999829</c:v>
                </c:pt>
                <c:pt idx="724">
                  <c:v>0.66944444444444273</c:v>
                </c:pt>
                <c:pt idx="725">
                  <c:v>0.67013888888888717</c:v>
                </c:pt>
                <c:pt idx="726">
                  <c:v>0.67083333333333162</c:v>
                </c:pt>
                <c:pt idx="727">
                  <c:v>0.67152777777777606</c:v>
                </c:pt>
                <c:pt idx="728">
                  <c:v>0.6722222222222205</c:v>
                </c:pt>
                <c:pt idx="729">
                  <c:v>0.67291666666666494</c:v>
                </c:pt>
                <c:pt idx="730">
                  <c:v>0.67361111111110938</c:v>
                </c:pt>
                <c:pt idx="731">
                  <c:v>0.67430555555555383</c:v>
                </c:pt>
                <c:pt idx="732">
                  <c:v>0.67499999999999827</c:v>
                </c:pt>
                <c:pt idx="733">
                  <c:v>0.67569444444444271</c:v>
                </c:pt>
                <c:pt idx="734">
                  <c:v>0.67638888888888715</c:v>
                </c:pt>
                <c:pt idx="735">
                  <c:v>0.67708333333333159</c:v>
                </c:pt>
                <c:pt idx="736">
                  <c:v>0.67777777777777604</c:v>
                </c:pt>
                <c:pt idx="737">
                  <c:v>0.67847222222222048</c:v>
                </c:pt>
                <c:pt idx="738">
                  <c:v>0.67916666666666492</c:v>
                </c:pt>
                <c:pt idx="739">
                  <c:v>0.67986111111110936</c:v>
                </c:pt>
                <c:pt idx="740">
                  <c:v>0.6805555555555538</c:v>
                </c:pt>
                <c:pt idx="741">
                  <c:v>0.68124999999999825</c:v>
                </c:pt>
                <c:pt idx="742">
                  <c:v>0.68194444444444269</c:v>
                </c:pt>
                <c:pt idx="743">
                  <c:v>0.68263888888888713</c:v>
                </c:pt>
                <c:pt idx="744">
                  <c:v>0.68333333333333157</c:v>
                </c:pt>
                <c:pt idx="745">
                  <c:v>0.68402777777777601</c:v>
                </c:pt>
                <c:pt idx="746">
                  <c:v>0.68472222222222046</c:v>
                </c:pt>
                <c:pt idx="747">
                  <c:v>0.6854166666666649</c:v>
                </c:pt>
                <c:pt idx="748">
                  <c:v>0.68611111111110934</c:v>
                </c:pt>
                <c:pt idx="749">
                  <c:v>0.68680555555555378</c:v>
                </c:pt>
                <c:pt idx="750">
                  <c:v>0.68749999999999822</c:v>
                </c:pt>
                <c:pt idx="751">
                  <c:v>0.68819444444444267</c:v>
                </c:pt>
                <c:pt idx="752">
                  <c:v>0.68888888888888711</c:v>
                </c:pt>
                <c:pt idx="753">
                  <c:v>0.68958333333333155</c:v>
                </c:pt>
                <c:pt idx="754">
                  <c:v>0.69027777777777599</c:v>
                </c:pt>
                <c:pt idx="755">
                  <c:v>0.69097222222222043</c:v>
                </c:pt>
                <c:pt idx="756">
                  <c:v>0.69166666666666488</c:v>
                </c:pt>
                <c:pt idx="757">
                  <c:v>0.69236111111110932</c:v>
                </c:pt>
                <c:pt idx="758">
                  <c:v>0.69305555555555376</c:v>
                </c:pt>
                <c:pt idx="759">
                  <c:v>0.6937499999999982</c:v>
                </c:pt>
                <c:pt idx="760">
                  <c:v>0.69444444444444264</c:v>
                </c:pt>
                <c:pt idx="761">
                  <c:v>0.69513888888888709</c:v>
                </c:pt>
                <c:pt idx="762">
                  <c:v>0.69583333333333153</c:v>
                </c:pt>
                <c:pt idx="763">
                  <c:v>0.69652777777777597</c:v>
                </c:pt>
                <c:pt idx="764">
                  <c:v>0.69722222222222041</c:v>
                </c:pt>
                <c:pt idx="765">
                  <c:v>0.69791666666666485</c:v>
                </c:pt>
                <c:pt idx="766">
                  <c:v>0.6986111111111093</c:v>
                </c:pt>
                <c:pt idx="767">
                  <c:v>0.69930555555555374</c:v>
                </c:pt>
                <c:pt idx="768">
                  <c:v>0.69999999999999818</c:v>
                </c:pt>
                <c:pt idx="769">
                  <c:v>0.70069444444444262</c:v>
                </c:pt>
                <c:pt idx="770">
                  <c:v>0.70138888888888706</c:v>
                </c:pt>
                <c:pt idx="771">
                  <c:v>0.70208333333333151</c:v>
                </c:pt>
                <c:pt idx="772">
                  <c:v>0.70277777777777595</c:v>
                </c:pt>
                <c:pt idx="773">
                  <c:v>0.70347222222222039</c:v>
                </c:pt>
                <c:pt idx="774">
                  <c:v>0.70416666666666483</c:v>
                </c:pt>
                <c:pt idx="775">
                  <c:v>0.70486111111110927</c:v>
                </c:pt>
                <c:pt idx="776">
                  <c:v>0.70555555555555372</c:v>
                </c:pt>
                <c:pt idx="777">
                  <c:v>0.70624999999999816</c:v>
                </c:pt>
                <c:pt idx="778">
                  <c:v>0.7069444444444426</c:v>
                </c:pt>
                <c:pt idx="779">
                  <c:v>0.70763888888888704</c:v>
                </c:pt>
                <c:pt idx="780">
                  <c:v>0.70833333333333148</c:v>
                </c:pt>
                <c:pt idx="781">
                  <c:v>0.70902777777777592</c:v>
                </c:pt>
                <c:pt idx="782">
                  <c:v>0.70972222222222037</c:v>
                </c:pt>
                <c:pt idx="783">
                  <c:v>0.71041666666666481</c:v>
                </c:pt>
                <c:pt idx="784">
                  <c:v>0.71111111111110925</c:v>
                </c:pt>
                <c:pt idx="785">
                  <c:v>0.71180555555555369</c:v>
                </c:pt>
                <c:pt idx="786">
                  <c:v>0.71249999999999813</c:v>
                </c:pt>
                <c:pt idx="787">
                  <c:v>0.71319444444444258</c:v>
                </c:pt>
                <c:pt idx="788">
                  <c:v>0.71388888888888702</c:v>
                </c:pt>
                <c:pt idx="789">
                  <c:v>0.71458333333333146</c:v>
                </c:pt>
                <c:pt idx="790">
                  <c:v>0.7152777777777759</c:v>
                </c:pt>
                <c:pt idx="791">
                  <c:v>0.71597222222222034</c:v>
                </c:pt>
                <c:pt idx="792">
                  <c:v>0.71666666666666479</c:v>
                </c:pt>
                <c:pt idx="793">
                  <c:v>0.71736111111110923</c:v>
                </c:pt>
                <c:pt idx="794">
                  <c:v>0.71805555555555367</c:v>
                </c:pt>
                <c:pt idx="795">
                  <c:v>0.71874999999999811</c:v>
                </c:pt>
                <c:pt idx="796">
                  <c:v>0.71944444444444255</c:v>
                </c:pt>
                <c:pt idx="797">
                  <c:v>0.720138888888887</c:v>
                </c:pt>
                <c:pt idx="798">
                  <c:v>0.72083333333333144</c:v>
                </c:pt>
                <c:pt idx="799">
                  <c:v>0.72152777777777588</c:v>
                </c:pt>
                <c:pt idx="800">
                  <c:v>0.72222222222222032</c:v>
                </c:pt>
                <c:pt idx="801">
                  <c:v>0.72291666666666476</c:v>
                </c:pt>
                <c:pt idx="802">
                  <c:v>0.72361111111110921</c:v>
                </c:pt>
                <c:pt idx="803">
                  <c:v>0.72430555555555365</c:v>
                </c:pt>
                <c:pt idx="804">
                  <c:v>0.72499999999999809</c:v>
                </c:pt>
                <c:pt idx="805">
                  <c:v>0.72569444444444253</c:v>
                </c:pt>
                <c:pt idx="806">
                  <c:v>0.72638888888888697</c:v>
                </c:pt>
                <c:pt idx="807">
                  <c:v>0.72708333333333142</c:v>
                </c:pt>
                <c:pt idx="808">
                  <c:v>0.72777777777777586</c:v>
                </c:pt>
                <c:pt idx="809">
                  <c:v>0.7284722222222203</c:v>
                </c:pt>
                <c:pt idx="810">
                  <c:v>0.72916666666666474</c:v>
                </c:pt>
                <c:pt idx="811">
                  <c:v>0.72986111111110918</c:v>
                </c:pt>
                <c:pt idx="812">
                  <c:v>0.73055555555555363</c:v>
                </c:pt>
                <c:pt idx="813">
                  <c:v>0.73124999999999807</c:v>
                </c:pt>
                <c:pt idx="814">
                  <c:v>0.73194444444444251</c:v>
                </c:pt>
                <c:pt idx="815">
                  <c:v>0.73263888888888695</c:v>
                </c:pt>
                <c:pt idx="816">
                  <c:v>0.73333333333333139</c:v>
                </c:pt>
                <c:pt idx="817">
                  <c:v>0.73402777777777584</c:v>
                </c:pt>
                <c:pt idx="818">
                  <c:v>0.73472222222222028</c:v>
                </c:pt>
                <c:pt idx="819">
                  <c:v>0.73541666666666472</c:v>
                </c:pt>
                <c:pt idx="820">
                  <c:v>0.73611111111110916</c:v>
                </c:pt>
                <c:pt idx="821">
                  <c:v>0.7368055555555536</c:v>
                </c:pt>
                <c:pt idx="822">
                  <c:v>0.73749999999999805</c:v>
                </c:pt>
                <c:pt idx="823">
                  <c:v>0.73819444444444249</c:v>
                </c:pt>
                <c:pt idx="824">
                  <c:v>0.73888888888888693</c:v>
                </c:pt>
                <c:pt idx="825">
                  <c:v>0.73958333333333137</c:v>
                </c:pt>
                <c:pt idx="826">
                  <c:v>0.74027777777777581</c:v>
                </c:pt>
                <c:pt idx="827">
                  <c:v>0.74097222222222026</c:v>
                </c:pt>
                <c:pt idx="828">
                  <c:v>0.7416666666666647</c:v>
                </c:pt>
                <c:pt idx="829">
                  <c:v>0.74236111111110914</c:v>
                </c:pt>
                <c:pt idx="830">
                  <c:v>0.74305555555555358</c:v>
                </c:pt>
                <c:pt idx="831">
                  <c:v>0.74374999999999802</c:v>
                </c:pt>
                <c:pt idx="832">
                  <c:v>0.74444444444444247</c:v>
                </c:pt>
                <c:pt idx="833">
                  <c:v>0.74513888888888691</c:v>
                </c:pt>
                <c:pt idx="834">
                  <c:v>0.74583333333333135</c:v>
                </c:pt>
                <c:pt idx="835">
                  <c:v>0.74652777777777579</c:v>
                </c:pt>
                <c:pt idx="836">
                  <c:v>0.74722222222222023</c:v>
                </c:pt>
                <c:pt idx="837">
                  <c:v>0.74791666666666468</c:v>
                </c:pt>
                <c:pt idx="838">
                  <c:v>0.74861111111110912</c:v>
                </c:pt>
                <c:pt idx="839">
                  <c:v>0.74930555555555356</c:v>
                </c:pt>
                <c:pt idx="840">
                  <c:v>0.749999999999998</c:v>
                </c:pt>
                <c:pt idx="841">
                  <c:v>0.75069444444444244</c:v>
                </c:pt>
                <c:pt idx="842">
                  <c:v>0.75138888888888689</c:v>
                </c:pt>
                <c:pt idx="843">
                  <c:v>0.75208333333333133</c:v>
                </c:pt>
                <c:pt idx="844">
                  <c:v>0.75277777777777577</c:v>
                </c:pt>
                <c:pt idx="845">
                  <c:v>0.75347222222222021</c:v>
                </c:pt>
                <c:pt idx="846">
                  <c:v>0.75416666666666465</c:v>
                </c:pt>
                <c:pt idx="847">
                  <c:v>0.7548611111111091</c:v>
                </c:pt>
                <c:pt idx="848">
                  <c:v>0.75555555555555354</c:v>
                </c:pt>
                <c:pt idx="849">
                  <c:v>0.75624999999999798</c:v>
                </c:pt>
                <c:pt idx="850">
                  <c:v>0.75694444444444242</c:v>
                </c:pt>
                <c:pt idx="851">
                  <c:v>0.75763888888888686</c:v>
                </c:pt>
                <c:pt idx="852">
                  <c:v>0.75833333333333131</c:v>
                </c:pt>
                <c:pt idx="853">
                  <c:v>0.75902777777777575</c:v>
                </c:pt>
                <c:pt idx="854">
                  <c:v>0.75972222222222019</c:v>
                </c:pt>
                <c:pt idx="855">
                  <c:v>0.76041666666666463</c:v>
                </c:pt>
                <c:pt idx="856">
                  <c:v>0.76111111111110907</c:v>
                </c:pt>
                <c:pt idx="857">
                  <c:v>0.76180555555555352</c:v>
                </c:pt>
                <c:pt idx="858">
                  <c:v>0.76249999999999796</c:v>
                </c:pt>
                <c:pt idx="859">
                  <c:v>0.7631944444444424</c:v>
                </c:pt>
                <c:pt idx="860">
                  <c:v>0.76388888888888684</c:v>
                </c:pt>
                <c:pt idx="861">
                  <c:v>0.76458333333333128</c:v>
                </c:pt>
                <c:pt idx="862">
                  <c:v>0.76527777777777573</c:v>
                </c:pt>
                <c:pt idx="863">
                  <c:v>0.76597222222222017</c:v>
                </c:pt>
                <c:pt idx="864">
                  <c:v>0.76666666666666461</c:v>
                </c:pt>
                <c:pt idx="865">
                  <c:v>0.76736111111110905</c:v>
                </c:pt>
                <c:pt idx="866">
                  <c:v>0.76805555555555349</c:v>
                </c:pt>
                <c:pt idx="867">
                  <c:v>0.76874999999999793</c:v>
                </c:pt>
                <c:pt idx="868">
                  <c:v>0.76944444444444238</c:v>
                </c:pt>
                <c:pt idx="869">
                  <c:v>0.77013888888888682</c:v>
                </c:pt>
                <c:pt idx="870">
                  <c:v>0.77083333333333126</c:v>
                </c:pt>
                <c:pt idx="871">
                  <c:v>0.7715277777777757</c:v>
                </c:pt>
                <c:pt idx="872">
                  <c:v>0.77222222222222014</c:v>
                </c:pt>
                <c:pt idx="873">
                  <c:v>0.77291666666666459</c:v>
                </c:pt>
                <c:pt idx="874">
                  <c:v>0.77361111111110903</c:v>
                </c:pt>
                <c:pt idx="875">
                  <c:v>0.77430555555555347</c:v>
                </c:pt>
                <c:pt idx="876">
                  <c:v>0.77499999999999791</c:v>
                </c:pt>
                <c:pt idx="877">
                  <c:v>0.77569444444444235</c:v>
                </c:pt>
                <c:pt idx="878">
                  <c:v>0.7763888888888868</c:v>
                </c:pt>
                <c:pt idx="879">
                  <c:v>0.77708333333333124</c:v>
                </c:pt>
                <c:pt idx="880">
                  <c:v>0.77777777777777568</c:v>
                </c:pt>
                <c:pt idx="881">
                  <c:v>0.77847222222222012</c:v>
                </c:pt>
                <c:pt idx="882">
                  <c:v>0.77916666666666456</c:v>
                </c:pt>
                <c:pt idx="883">
                  <c:v>0.77986111111110901</c:v>
                </c:pt>
                <c:pt idx="884">
                  <c:v>0.78055555555555345</c:v>
                </c:pt>
                <c:pt idx="885">
                  <c:v>0.78124999999999789</c:v>
                </c:pt>
                <c:pt idx="886">
                  <c:v>0.78194444444444233</c:v>
                </c:pt>
                <c:pt idx="887">
                  <c:v>0.78263888888888677</c:v>
                </c:pt>
                <c:pt idx="888">
                  <c:v>0.78333333333333122</c:v>
                </c:pt>
                <c:pt idx="889">
                  <c:v>0.78402777777777566</c:v>
                </c:pt>
                <c:pt idx="890">
                  <c:v>0.7847222222222201</c:v>
                </c:pt>
                <c:pt idx="891">
                  <c:v>0.78541666666666454</c:v>
                </c:pt>
                <c:pt idx="892">
                  <c:v>0.78611111111110898</c:v>
                </c:pt>
                <c:pt idx="893">
                  <c:v>0.78680555555555343</c:v>
                </c:pt>
                <c:pt idx="894">
                  <c:v>0.78749999999999787</c:v>
                </c:pt>
                <c:pt idx="895">
                  <c:v>0.78819444444444231</c:v>
                </c:pt>
                <c:pt idx="896">
                  <c:v>0.78888888888888675</c:v>
                </c:pt>
                <c:pt idx="897">
                  <c:v>0.78958333333333119</c:v>
                </c:pt>
                <c:pt idx="898">
                  <c:v>0.79027777777777564</c:v>
                </c:pt>
                <c:pt idx="899">
                  <c:v>0.79097222222222008</c:v>
                </c:pt>
                <c:pt idx="900">
                  <c:v>0.79166666666666452</c:v>
                </c:pt>
                <c:pt idx="901">
                  <c:v>0.79236111111110896</c:v>
                </c:pt>
                <c:pt idx="902">
                  <c:v>0.7930555555555534</c:v>
                </c:pt>
                <c:pt idx="903">
                  <c:v>0.79374999999999785</c:v>
                </c:pt>
                <c:pt idx="904">
                  <c:v>0.79444444444444229</c:v>
                </c:pt>
                <c:pt idx="905">
                  <c:v>0.79513888888888673</c:v>
                </c:pt>
                <c:pt idx="906">
                  <c:v>0.79583333333333117</c:v>
                </c:pt>
                <c:pt idx="907">
                  <c:v>0.79652777777777561</c:v>
                </c:pt>
                <c:pt idx="908">
                  <c:v>0.79722222222222006</c:v>
                </c:pt>
                <c:pt idx="909">
                  <c:v>0.7979166666666645</c:v>
                </c:pt>
                <c:pt idx="910">
                  <c:v>0.79861111111110894</c:v>
                </c:pt>
                <c:pt idx="911">
                  <c:v>0.79930555555555338</c:v>
                </c:pt>
                <c:pt idx="912">
                  <c:v>0.79999999999999782</c:v>
                </c:pt>
                <c:pt idx="913">
                  <c:v>0.80069444444444227</c:v>
                </c:pt>
                <c:pt idx="914">
                  <c:v>0.80138888888888671</c:v>
                </c:pt>
                <c:pt idx="915">
                  <c:v>0.80208333333333115</c:v>
                </c:pt>
                <c:pt idx="916">
                  <c:v>0.80277777777777559</c:v>
                </c:pt>
                <c:pt idx="917">
                  <c:v>0.80347222222222003</c:v>
                </c:pt>
                <c:pt idx="918">
                  <c:v>0.80416666666666448</c:v>
                </c:pt>
                <c:pt idx="919">
                  <c:v>0.80486111111110892</c:v>
                </c:pt>
                <c:pt idx="920">
                  <c:v>0.80555555555555336</c:v>
                </c:pt>
                <c:pt idx="921">
                  <c:v>0.8062499999999978</c:v>
                </c:pt>
                <c:pt idx="922">
                  <c:v>0.80694444444444224</c:v>
                </c:pt>
                <c:pt idx="923">
                  <c:v>0.80763888888888669</c:v>
                </c:pt>
                <c:pt idx="924">
                  <c:v>0.80833333333333113</c:v>
                </c:pt>
                <c:pt idx="925">
                  <c:v>0.80902777777777557</c:v>
                </c:pt>
                <c:pt idx="926">
                  <c:v>0.80972222222222001</c:v>
                </c:pt>
                <c:pt idx="927">
                  <c:v>0.81041666666666445</c:v>
                </c:pt>
                <c:pt idx="928">
                  <c:v>0.8111111111111089</c:v>
                </c:pt>
                <c:pt idx="929">
                  <c:v>0.81180555555555334</c:v>
                </c:pt>
                <c:pt idx="930">
                  <c:v>0.81249999999999778</c:v>
                </c:pt>
                <c:pt idx="931">
                  <c:v>0.81319444444444222</c:v>
                </c:pt>
                <c:pt idx="932">
                  <c:v>0.81388888888888666</c:v>
                </c:pt>
                <c:pt idx="933">
                  <c:v>0.81458333333333111</c:v>
                </c:pt>
                <c:pt idx="934">
                  <c:v>0.81527777777777555</c:v>
                </c:pt>
                <c:pt idx="935">
                  <c:v>0.81597222222221999</c:v>
                </c:pt>
                <c:pt idx="936">
                  <c:v>0.81666666666666443</c:v>
                </c:pt>
                <c:pt idx="937">
                  <c:v>0.81736111111110887</c:v>
                </c:pt>
                <c:pt idx="938">
                  <c:v>0.81805555555555332</c:v>
                </c:pt>
                <c:pt idx="939">
                  <c:v>0.81874999999999776</c:v>
                </c:pt>
                <c:pt idx="940">
                  <c:v>0.8194444444444422</c:v>
                </c:pt>
                <c:pt idx="941">
                  <c:v>0.82013888888888664</c:v>
                </c:pt>
                <c:pt idx="942">
                  <c:v>0.82083333333333108</c:v>
                </c:pt>
                <c:pt idx="943">
                  <c:v>0.82152777777777553</c:v>
                </c:pt>
                <c:pt idx="944">
                  <c:v>0.82222222222221997</c:v>
                </c:pt>
                <c:pt idx="945">
                  <c:v>0.82291666666666441</c:v>
                </c:pt>
                <c:pt idx="946">
                  <c:v>0.82361111111110885</c:v>
                </c:pt>
                <c:pt idx="947">
                  <c:v>0.82430555555555329</c:v>
                </c:pt>
                <c:pt idx="948">
                  <c:v>0.82499999999999774</c:v>
                </c:pt>
                <c:pt idx="949">
                  <c:v>0.82569444444444218</c:v>
                </c:pt>
                <c:pt idx="950">
                  <c:v>0.82638888888888662</c:v>
                </c:pt>
                <c:pt idx="951">
                  <c:v>0.82708333333333106</c:v>
                </c:pt>
                <c:pt idx="952">
                  <c:v>0.8277777777777755</c:v>
                </c:pt>
                <c:pt idx="953">
                  <c:v>0.82847222222221995</c:v>
                </c:pt>
                <c:pt idx="954">
                  <c:v>0.82916666666666439</c:v>
                </c:pt>
                <c:pt idx="955">
                  <c:v>0.82986111111110883</c:v>
                </c:pt>
                <c:pt idx="956">
                  <c:v>0.83055555555555327</c:v>
                </c:pt>
                <c:pt idx="957">
                  <c:v>0.83124999999999771</c:v>
                </c:pt>
                <c:pt idx="958">
                  <c:v>0.83194444444444215</c:v>
                </c:pt>
                <c:pt idx="959">
                  <c:v>0.8326388888888866</c:v>
                </c:pt>
                <c:pt idx="960">
                  <c:v>0.83333333333333104</c:v>
                </c:pt>
                <c:pt idx="961">
                  <c:v>0.83402777777777548</c:v>
                </c:pt>
                <c:pt idx="962">
                  <c:v>0.83472222222221992</c:v>
                </c:pt>
                <c:pt idx="963">
                  <c:v>0.83541666666666436</c:v>
                </c:pt>
                <c:pt idx="964">
                  <c:v>0.83611111111110881</c:v>
                </c:pt>
                <c:pt idx="965">
                  <c:v>0.83680555555555325</c:v>
                </c:pt>
                <c:pt idx="966">
                  <c:v>0.83749999999999769</c:v>
                </c:pt>
                <c:pt idx="967">
                  <c:v>0.83819444444444213</c:v>
                </c:pt>
                <c:pt idx="968">
                  <c:v>0.83888888888888657</c:v>
                </c:pt>
                <c:pt idx="969">
                  <c:v>0.83958333333333102</c:v>
                </c:pt>
                <c:pt idx="970">
                  <c:v>0.84027777777777546</c:v>
                </c:pt>
                <c:pt idx="971">
                  <c:v>0.8409722222222199</c:v>
                </c:pt>
                <c:pt idx="972">
                  <c:v>0.84166666666666434</c:v>
                </c:pt>
                <c:pt idx="973">
                  <c:v>0.84236111111110878</c:v>
                </c:pt>
                <c:pt idx="974">
                  <c:v>0.84305555555555323</c:v>
                </c:pt>
                <c:pt idx="975">
                  <c:v>0.84374999999999767</c:v>
                </c:pt>
                <c:pt idx="976">
                  <c:v>0.84444444444444211</c:v>
                </c:pt>
                <c:pt idx="977">
                  <c:v>0.84513888888888655</c:v>
                </c:pt>
                <c:pt idx="978">
                  <c:v>0.84583333333333099</c:v>
                </c:pt>
                <c:pt idx="979">
                  <c:v>0.84652777777777544</c:v>
                </c:pt>
                <c:pt idx="980">
                  <c:v>0.84722222222221988</c:v>
                </c:pt>
                <c:pt idx="981">
                  <c:v>0.84791666666666432</c:v>
                </c:pt>
                <c:pt idx="982">
                  <c:v>0.84861111111110876</c:v>
                </c:pt>
                <c:pt idx="983">
                  <c:v>0.8493055555555532</c:v>
                </c:pt>
                <c:pt idx="984">
                  <c:v>0.84999999999999765</c:v>
                </c:pt>
                <c:pt idx="985">
                  <c:v>0.85069444444444209</c:v>
                </c:pt>
                <c:pt idx="986">
                  <c:v>0.85138888888888653</c:v>
                </c:pt>
                <c:pt idx="987">
                  <c:v>0.85208333333333097</c:v>
                </c:pt>
                <c:pt idx="988">
                  <c:v>0.85277777777777541</c:v>
                </c:pt>
                <c:pt idx="989">
                  <c:v>0.85347222222221986</c:v>
                </c:pt>
                <c:pt idx="990">
                  <c:v>0.8541666666666643</c:v>
                </c:pt>
                <c:pt idx="991">
                  <c:v>0.85486111111110874</c:v>
                </c:pt>
                <c:pt idx="992">
                  <c:v>0.85555555555555318</c:v>
                </c:pt>
                <c:pt idx="993">
                  <c:v>0.85624999999999762</c:v>
                </c:pt>
                <c:pt idx="994">
                  <c:v>0.85694444444444207</c:v>
                </c:pt>
                <c:pt idx="995">
                  <c:v>0.85763888888888651</c:v>
                </c:pt>
                <c:pt idx="996">
                  <c:v>0.85833333333333095</c:v>
                </c:pt>
                <c:pt idx="997">
                  <c:v>0.85902777777777539</c:v>
                </c:pt>
                <c:pt idx="998">
                  <c:v>0.85972222222221983</c:v>
                </c:pt>
                <c:pt idx="999">
                  <c:v>0.86041666666666428</c:v>
                </c:pt>
                <c:pt idx="1000">
                  <c:v>0.86111111111110872</c:v>
                </c:pt>
                <c:pt idx="1001">
                  <c:v>0.86180555555555316</c:v>
                </c:pt>
                <c:pt idx="1002">
                  <c:v>0.8624999999999976</c:v>
                </c:pt>
                <c:pt idx="1003">
                  <c:v>0.86319444444444204</c:v>
                </c:pt>
                <c:pt idx="1004">
                  <c:v>0.86388888888888649</c:v>
                </c:pt>
                <c:pt idx="1005">
                  <c:v>0.86458333333333093</c:v>
                </c:pt>
                <c:pt idx="1006">
                  <c:v>0.86527777777777537</c:v>
                </c:pt>
                <c:pt idx="1007">
                  <c:v>0.86597222222221981</c:v>
                </c:pt>
                <c:pt idx="1008">
                  <c:v>0.86666666666666425</c:v>
                </c:pt>
                <c:pt idx="1009">
                  <c:v>0.8673611111111087</c:v>
                </c:pt>
                <c:pt idx="1010">
                  <c:v>0.86805555555555314</c:v>
                </c:pt>
                <c:pt idx="1011">
                  <c:v>0.86874999999999758</c:v>
                </c:pt>
                <c:pt idx="1012">
                  <c:v>0.86944444444444202</c:v>
                </c:pt>
                <c:pt idx="1013">
                  <c:v>0.87013888888888646</c:v>
                </c:pt>
                <c:pt idx="1014">
                  <c:v>0.87083333333333091</c:v>
                </c:pt>
                <c:pt idx="1015">
                  <c:v>0.87152777777777535</c:v>
                </c:pt>
                <c:pt idx="1016">
                  <c:v>0.87222222222221979</c:v>
                </c:pt>
                <c:pt idx="1017">
                  <c:v>0.87291666666666423</c:v>
                </c:pt>
                <c:pt idx="1018">
                  <c:v>0.87361111111110867</c:v>
                </c:pt>
                <c:pt idx="1019">
                  <c:v>0.87430555555555312</c:v>
                </c:pt>
                <c:pt idx="1020">
                  <c:v>0.87499999999999756</c:v>
                </c:pt>
                <c:pt idx="1021">
                  <c:v>0.875694444444442</c:v>
                </c:pt>
                <c:pt idx="1022">
                  <c:v>0.87638888888888644</c:v>
                </c:pt>
                <c:pt idx="1023">
                  <c:v>0.87708333333333088</c:v>
                </c:pt>
                <c:pt idx="1024">
                  <c:v>0.87777777777777533</c:v>
                </c:pt>
                <c:pt idx="1025">
                  <c:v>0.87847222222221977</c:v>
                </c:pt>
                <c:pt idx="1026">
                  <c:v>0.87916666666666421</c:v>
                </c:pt>
                <c:pt idx="1027">
                  <c:v>0.87986111111110865</c:v>
                </c:pt>
                <c:pt idx="1028">
                  <c:v>0.88055555555555309</c:v>
                </c:pt>
                <c:pt idx="1029">
                  <c:v>0.88124999999999754</c:v>
                </c:pt>
                <c:pt idx="1030">
                  <c:v>0.88194444444444198</c:v>
                </c:pt>
                <c:pt idx="1031">
                  <c:v>0.88263888888888642</c:v>
                </c:pt>
                <c:pt idx="1032">
                  <c:v>0.88333333333333086</c:v>
                </c:pt>
                <c:pt idx="1033">
                  <c:v>0.8840277777777753</c:v>
                </c:pt>
                <c:pt idx="1034">
                  <c:v>0.88472222222221975</c:v>
                </c:pt>
                <c:pt idx="1035">
                  <c:v>0.88541666666666419</c:v>
                </c:pt>
                <c:pt idx="1036">
                  <c:v>0.88611111111110863</c:v>
                </c:pt>
                <c:pt idx="1037">
                  <c:v>0.88680555555555307</c:v>
                </c:pt>
                <c:pt idx="1038">
                  <c:v>0.88749999999999751</c:v>
                </c:pt>
                <c:pt idx="1039">
                  <c:v>0.88819444444444196</c:v>
                </c:pt>
                <c:pt idx="1040">
                  <c:v>0.8888888888888864</c:v>
                </c:pt>
                <c:pt idx="1041">
                  <c:v>0.88958333333333084</c:v>
                </c:pt>
                <c:pt idx="1042">
                  <c:v>0.89027777777777528</c:v>
                </c:pt>
                <c:pt idx="1043">
                  <c:v>0.89097222222221972</c:v>
                </c:pt>
                <c:pt idx="1044">
                  <c:v>0.89166666666666416</c:v>
                </c:pt>
                <c:pt idx="1045">
                  <c:v>0.89236111111110861</c:v>
                </c:pt>
                <c:pt idx="1046">
                  <c:v>0.89305555555555305</c:v>
                </c:pt>
                <c:pt idx="1047">
                  <c:v>0.89374999999999749</c:v>
                </c:pt>
                <c:pt idx="1048">
                  <c:v>0.89444444444444193</c:v>
                </c:pt>
                <c:pt idx="1049">
                  <c:v>0.89513888888888637</c:v>
                </c:pt>
                <c:pt idx="1050">
                  <c:v>0.89583333333333082</c:v>
                </c:pt>
                <c:pt idx="1051">
                  <c:v>0.89652777777777526</c:v>
                </c:pt>
                <c:pt idx="1052">
                  <c:v>0.8972222222222197</c:v>
                </c:pt>
                <c:pt idx="1053">
                  <c:v>0.89791666666666414</c:v>
                </c:pt>
                <c:pt idx="1054">
                  <c:v>0.89861111111110858</c:v>
                </c:pt>
                <c:pt idx="1055">
                  <c:v>0.89930555555555303</c:v>
                </c:pt>
                <c:pt idx="1056">
                  <c:v>0.89999999999999747</c:v>
                </c:pt>
                <c:pt idx="1057">
                  <c:v>0.90069444444444191</c:v>
                </c:pt>
                <c:pt idx="1058">
                  <c:v>0.90138888888888635</c:v>
                </c:pt>
                <c:pt idx="1059">
                  <c:v>0.90208333333333079</c:v>
                </c:pt>
                <c:pt idx="1060">
                  <c:v>0.90277777777777524</c:v>
                </c:pt>
                <c:pt idx="1061">
                  <c:v>0.90347222222221968</c:v>
                </c:pt>
                <c:pt idx="1062">
                  <c:v>0.90416666666666412</c:v>
                </c:pt>
                <c:pt idx="1063">
                  <c:v>0.90486111111110856</c:v>
                </c:pt>
                <c:pt idx="1064">
                  <c:v>0.905555555555553</c:v>
                </c:pt>
                <c:pt idx="1065">
                  <c:v>0.90624999999999745</c:v>
                </c:pt>
                <c:pt idx="1066">
                  <c:v>0.90694444444444189</c:v>
                </c:pt>
                <c:pt idx="1067">
                  <c:v>0.90763888888888633</c:v>
                </c:pt>
                <c:pt idx="1068">
                  <c:v>0.90833333333333077</c:v>
                </c:pt>
                <c:pt idx="1069">
                  <c:v>0.90902777777777521</c:v>
                </c:pt>
                <c:pt idx="1070">
                  <c:v>0.90972222222221966</c:v>
                </c:pt>
                <c:pt idx="1071">
                  <c:v>0.9104166666666641</c:v>
                </c:pt>
                <c:pt idx="1072">
                  <c:v>0.91111111111110854</c:v>
                </c:pt>
                <c:pt idx="1073">
                  <c:v>0.91180555555555298</c:v>
                </c:pt>
                <c:pt idx="1074">
                  <c:v>0.91249999999999742</c:v>
                </c:pt>
                <c:pt idx="1075">
                  <c:v>0.91319444444444187</c:v>
                </c:pt>
                <c:pt idx="1076">
                  <c:v>0.91388888888888631</c:v>
                </c:pt>
                <c:pt idx="1077">
                  <c:v>0.91458333333333075</c:v>
                </c:pt>
                <c:pt idx="1078">
                  <c:v>0.91527777777777519</c:v>
                </c:pt>
                <c:pt idx="1079">
                  <c:v>0.91597222222221963</c:v>
                </c:pt>
                <c:pt idx="1080">
                  <c:v>0.91666666666666408</c:v>
                </c:pt>
                <c:pt idx="1081">
                  <c:v>0.91736111111110852</c:v>
                </c:pt>
                <c:pt idx="1082">
                  <c:v>0.91805555555555296</c:v>
                </c:pt>
                <c:pt idx="1083">
                  <c:v>0.9187499999999974</c:v>
                </c:pt>
                <c:pt idx="1084">
                  <c:v>0.91944444444444184</c:v>
                </c:pt>
                <c:pt idx="1085">
                  <c:v>0.92013888888888629</c:v>
                </c:pt>
                <c:pt idx="1086">
                  <c:v>0.92083333333333073</c:v>
                </c:pt>
                <c:pt idx="1087">
                  <c:v>0.92152777777777517</c:v>
                </c:pt>
                <c:pt idx="1088">
                  <c:v>0.92222222222221961</c:v>
                </c:pt>
                <c:pt idx="1089">
                  <c:v>0.92291666666666405</c:v>
                </c:pt>
                <c:pt idx="1090">
                  <c:v>0.9236111111111085</c:v>
                </c:pt>
                <c:pt idx="1091">
                  <c:v>0.92430555555555294</c:v>
                </c:pt>
                <c:pt idx="1092">
                  <c:v>0.92499999999999738</c:v>
                </c:pt>
                <c:pt idx="1093">
                  <c:v>0.92569444444444182</c:v>
                </c:pt>
                <c:pt idx="1094">
                  <c:v>0.92638888888888626</c:v>
                </c:pt>
                <c:pt idx="1095">
                  <c:v>0.92708333333333071</c:v>
                </c:pt>
                <c:pt idx="1096">
                  <c:v>0.92777777777777515</c:v>
                </c:pt>
                <c:pt idx="1097">
                  <c:v>0.92847222222221959</c:v>
                </c:pt>
                <c:pt idx="1098">
                  <c:v>0.92916666666666403</c:v>
                </c:pt>
                <c:pt idx="1099">
                  <c:v>0.92986111111110847</c:v>
                </c:pt>
                <c:pt idx="1100">
                  <c:v>0.93055555555555292</c:v>
                </c:pt>
                <c:pt idx="1101">
                  <c:v>0.93124999999999736</c:v>
                </c:pt>
                <c:pt idx="1102">
                  <c:v>0.9319444444444418</c:v>
                </c:pt>
                <c:pt idx="1103">
                  <c:v>0.93263888888888624</c:v>
                </c:pt>
                <c:pt idx="1104">
                  <c:v>0.93333333333333068</c:v>
                </c:pt>
                <c:pt idx="1105">
                  <c:v>0.93402777777777513</c:v>
                </c:pt>
                <c:pt idx="1106">
                  <c:v>0.93472222222221957</c:v>
                </c:pt>
                <c:pt idx="1107">
                  <c:v>0.93541666666666401</c:v>
                </c:pt>
                <c:pt idx="1108">
                  <c:v>0.93611111111110845</c:v>
                </c:pt>
                <c:pt idx="1109">
                  <c:v>0.93680555555555289</c:v>
                </c:pt>
                <c:pt idx="1110">
                  <c:v>0.93749999999999734</c:v>
                </c:pt>
                <c:pt idx="1111">
                  <c:v>0.93819444444444178</c:v>
                </c:pt>
                <c:pt idx="1112">
                  <c:v>0.93888888888888622</c:v>
                </c:pt>
                <c:pt idx="1113">
                  <c:v>0.93958333333333066</c:v>
                </c:pt>
                <c:pt idx="1114">
                  <c:v>0.9402777777777751</c:v>
                </c:pt>
                <c:pt idx="1115">
                  <c:v>0.94097222222221955</c:v>
                </c:pt>
                <c:pt idx="1116">
                  <c:v>0.94166666666666399</c:v>
                </c:pt>
                <c:pt idx="1117">
                  <c:v>0.94236111111110843</c:v>
                </c:pt>
                <c:pt idx="1118">
                  <c:v>0.94305555555555287</c:v>
                </c:pt>
                <c:pt idx="1119">
                  <c:v>0.94374999999999731</c:v>
                </c:pt>
                <c:pt idx="1120">
                  <c:v>0.94444444444444176</c:v>
                </c:pt>
                <c:pt idx="1121">
                  <c:v>0.9451388888888862</c:v>
                </c:pt>
                <c:pt idx="1122">
                  <c:v>0.94583333333333064</c:v>
                </c:pt>
                <c:pt idx="1123">
                  <c:v>0.94652777777777508</c:v>
                </c:pt>
                <c:pt idx="1124">
                  <c:v>0.94722222222221952</c:v>
                </c:pt>
                <c:pt idx="1125">
                  <c:v>0.94791666666666397</c:v>
                </c:pt>
                <c:pt idx="1126">
                  <c:v>0.94861111111110841</c:v>
                </c:pt>
                <c:pt idx="1127">
                  <c:v>0.94930555555555285</c:v>
                </c:pt>
                <c:pt idx="1128">
                  <c:v>0.94999999999999729</c:v>
                </c:pt>
                <c:pt idx="1129">
                  <c:v>0.95069444444444173</c:v>
                </c:pt>
                <c:pt idx="1130">
                  <c:v>0.95138888888888618</c:v>
                </c:pt>
                <c:pt idx="1131">
                  <c:v>0.95208333333333062</c:v>
                </c:pt>
                <c:pt idx="1132">
                  <c:v>0.95277777777777506</c:v>
                </c:pt>
                <c:pt idx="1133">
                  <c:v>0.9534722222222195</c:v>
                </c:pt>
                <c:pt idx="1134">
                  <c:v>0.95416666666666394</c:v>
                </c:pt>
                <c:pt idx="1135">
                  <c:v>0.95486111111110838</c:v>
                </c:pt>
                <c:pt idx="1136">
                  <c:v>0.95555555555555283</c:v>
                </c:pt>
                <c:pt idx="1137">
                  <c:v>0.95624999999999727</c:v>
                </c:pt>
                <c:pt idx="1138">
                  <c:v>0.95694444444444171</c:v>
                </c:pt>
                <c:pt idx="1139">
                  <c:v>0.95763888888888615</c:v>
                </c:pt>
                <c:pt idx="1140">
                  <c:v>0.95833333333333059</c:v>
                </c:pt>
                <c:pt idx="1141">
                  <c:v>0.95902777777777504</c:v>
                </c:pt>
                <c:pt idx="1142">
                  <c:v>0.95972222222221948</c:v>
                </c:pt>
                <c:pt idx="1143">
                  <c:v>0.96041666666666392</c:v>
                </c:pt>
                <c:pt idx="1144">
                  <c:v>0.96111111111110836</c:v>
                </c:pt>
                <c:pt idx="1145">
                  <c:v>0.9618055555555528</c:v>
                </c:pt>
                <c:pt idx="1146">
                  <c:v>0.96249999999999725</c:v>
                </c:pt>
                <c:pt idx="1147">
                  <c:v>0.96319444444444169</c:v>
                </c:pt>
                <c:pt idx="1148">
                  <c:v>0.96388888888888613</c:v>
                </c:pt>
                <c:pt idx="1149">
                  <c:v>0.96458333333333057</c:v>
                </c:pt>
                <c:pt idx="1150">
                  <c:v>0.96527777777777501</c:v>
                </c:pt>
                <c:pt idx="1151">
                  <c:v>0.96597222222221946</c:v>
                </c:pt>
                <c:pt idx="1152">
                  <c:v>0.9666666666666639</c:v>
                </c:pt>
                <c:pt idx="1153">
                  <c:v>0.96736111111110834</c:v>
                </c:pt>
                <c:pt idx="1154">
                  <c:v>0.96805555555555278</c:v>
                </c:pt>
                <c:pt idx="1155">
                  <c:v>0.96874999999999722</c:v>
                </c:pt>
                <c:pt idx="1156">
                  <c:v>0.96944444444444167</c:v>
                </c:pt>
                <c:pt idx="1157">
                  <c:v>0.97013888888888611</c:v>
                </c:pt>
                <c:pt idx="1158">
                  <c:v>0.97083333333333055</c:v>
                </c:pt>
                <c:pt idx="1159">
                  <c:v>0.97152777777777499</c:v>
                </c:pt>
                <c:pt idx="1160">
                  <c:v>0.97222222222221943</c:v>
                </c:pt>
                <c:pt idx="1161">
                  <c:v>0.97291666666666388</c:v>
                </c:pt>
                <c:pt idx="1162">
                  <c:v>0.97361111111110832</c:v>
                </c:pt>
                <c:pt idx="1163">
                  <c:v>0.97430555555555276</c:v>
                </c:pt>
                <c:pt idx="1164">
                  <c:v>0.9749999999999972</c:v>
                </c:pt>
                <c:pt idx="1165">
                  <c:v>0.97569444444444164</c:v>
                </c:pt>
                <c:pt idx="1166">
                  <c:v>0.97638888888888609</c:v>
                </c:pt>
                <c:pt idx="1167">
                  <c:v>0.97708333333333053</c:v>
                </c:pt>
                <c:pt idx="1168">
                  <c:v>0.97777777777777497</c:v>
                </c:pt>
                <c:pt idx="1169">
                  <c:v>0.97847222222221941</c:v>
                </c:pt>
                <c:pt idx="1170">
                  <c:v>0.97916666666666385</c:v>
                </c:pt>
                <c:pt idx="1171">
                  <c:v>0.9798611111111083</c:v>
                </c:pt>
                <c:pt idx="1172">
                  <c:v>0.98055555555555274</c:v>
                </c:pt>
                <c:pt idx="1173">
                  <c:v>0.98124999999999718</c:v>
                </c:pt>
                <c:pt idx="1174">
                  <c:v>0.98194444444444162</c:v>
                </c:pt>
                <c:pt idx="1175">
                  <c:v>0.98263888888888606</c:v>
                </c:pt>
                <c:pt idx="1176">
                  <c:v>0.98333333333333051</c:v>
                </c:pt>
                <c:pt idx="1177">
                  <c:v>0.98402777777777495</c:v>
                </c:pt>
                <c:pt idx="1178">
                  <c:v>0.98472222222221939</c:v>
                </c:pt>
                <c:pt idx="1179">
                  <c:v>0.98541666666666383</c:v>
                </c:pt>
                <c:pt idx="1180">
                  <c:v>0.98611111111110827</c:v>
                </c:pt>
                <c:pt idx="1181">
                  <c:v>0.98680555555555272</c:v>
                </c:pt>
                <c:pt idx="1182">
                  <c:v>0.98749999999999716</c:v>
                </c:pt>
                <c:pt idx="1183">
                  <c:v>0.9881944444444416</c:v>
                </c:pt>
                <c:pt idx="1184">
                  <c:v>0.98888888888888604</c:v>
                </c:pt>
                <c:pt idx="1185">
                  <c:v>0.98958333333333048</c:v>
                </c:pt>
                <c:pt idx="1186">
                  <c:v>0.99027777777777493</c:v>
                </c:pt>
                <c:pt idx="1187">
                  <c:v>0.99097222222221937</c:v>
                </c:pt>
                <c:pt idx="1188">
                  <c:v>0.99166666666666381</c:v>
                </c:pt>
                <c:pt idx="1189">
                  <c:v>0.99236111111110825</c:v>
                </c:pt>
                <c:pt idx="1190">
                  <c:v>0.99305555555555269</c:v>
                </c:pt>
                <c:pt idx="1191">
                  <c:v>0.99374999999999714</c:v>
                </c:pt>
                <c:pt idx="1192">
                  <c:v>0.99444444444444158</c:v>
                </c:pt>
                <c:pt idx="1193">
                  <c:v>0.99513888888888602</c:v>
                </c:pt>
                <c:pt idx="1194">
                  <c:v>0.99583333333333046</c:v>
                </c:pt>
                <c:pt idx="1195">
                  <c:v>0.9965277777777749</c:v>
                </c:pt>
                <c:pt idx="1196">
                  <c:v>0.99722222222221935</c:v>
                </c:pt>
                <c:pt idx="1197">
                  <c:v>0.99791666666666379</c:v>
                </c:pt>
                <c:pt idx="1198">
                  <c:v>0.99861111111110823</c:v>
                </c:pt>
                <c:pt idx="1199">
                  <c:v>0.99930555555555267</c:v>
                </c:pt>
                <c:pt idx="1200">
                  <c:v>0.99999999999999711</c:v>
                </c:pt>
                <c:pt idx="1201">
                  <c:v>1.0006944444444417</c:v>
                </c:pt>
                <c:pt idx="1202">
                  <c:v>1.0013888888888862</c:v>
                </c:pt>
                <c:pt idx="1203">
                  <c:v>1.0020833333333308</c:v>
                </c:pt>
                <c:pt idx="1204">
                  <c:v>1.0027777777777753</c:v>
                </c:pt>
                <c:pt idx="1205">
                  <c:v>1.0034722222222199</c:v>
                </c:pt>
                <c:pt idx="1206">
                  <c:v>1.0041666666666644</c:v>
                </c:pt>
                <c:pt idx="1207">
                  <c:v>1.004861111111109</c:v>
                </c:pt>
                <c:pt idx="1208">
                  <c:v>1.0055555555555535</c:v>
                </c:pt>
                <c:pt idx="1209">
                  <c:v>1.0062499999999981</c:v>
                </c:pt>
                <c:pt idx="1210">
                  <c:v>1.0069444444444426</c:v>
                </c:pt>
                <c:pt idx="1211">
                  <c:v>1.0076388888888872</c:v>
                </c:pt>
                <c:pt idx="1212">
                  <c:v>1.0083333333333317</c:v>
                </c:pt>
                <c:pt idx="1213">
                  <c:v>1.0090277777777763</c:v>
                </c:pt>
                <c:pt idx="1214">
                  <c:v>1.0097222222222209</c:v>
                </c:pt>
                <c:pt idx="1215">
                  <c:v>1.0104166666666654</c:v>
                </c:pt>
                <c:pt idx="1216">
                  <c:v>1.01111111111111</c:v>
                </c:pt>
                <c:pt idx="1217">
                  <c:v>1.0118055555555545</c:v>
                </c:pt>
                <c:pt idx="1218">
                  <c:v>1.0124999999999991</c:v>
                </c:pt>
                <c:pt idx="1219">
                  <c:v>1.0131944444444436</c:v>
                </c:pt>
                <c:pt idx="1220">
                  <c:v>1.0138888888888882</c:v>
                </c:pt>
                <c:pt idx="1221">
                  <c:v>1.0145833333333327</c:v>
                </c:pt>
                <c:pt idx="1222">
                  <c:v>1.0152777777777773</c:v>
                </c:pt>
                <c:pt idx="1223">
                  <c:v>1.0159722222222218</c:v>
                </c:pt>
                <c:pt idx="1224">
                  <c:v>1.0166666666666664</c:v>
                </c:pt>
                <c:pt idx="1225">
                  <c:v>1.0173611111111109</c:v>
                </c:pt>
                <c:pt idx="1226">
                  <c:v>1.0180555555555555</c:v>
                </c:pt>
                <c:pt idx="1227">
                  <c:v>1.01875</c:v>
                </c:pt>
                <c:pt idx="1228">
                  <c:v>1.0194444444444446</c:v>
                </c:pt>
                <c:pt idx="1229">
                  <c:v>1.0201388888888892</c:v>
                </c:pt>
                <c:pt idx="1230">
                  <c:v>1.0208333333333337</c:v>
                </c:pt>
                <c:pt idx="1231">
                  <c:v>1.0215277777777783</c:v>
                </c:pt>
                <c:pt idx="1232">
                  <c:v>1.0222222222222228</c:v>
                </c:pt>
                <c:pt idx="1233">
                  <c:v>1.0229166666666674</c:v>
                </c:pt>
                <c:pt idx="1234">
                  <c:v>1.0236111111111119</c:v>
                </c:pt>
                <c:pt idx="1235">
                  <c:v>1.0243055555555565</c:v>
                </c:pt>
                <c:pt idx="1236">
                  <c:v>1.025000000000001</c:v>
                </c:pt>
                <c:pt idx="1237">
                  <c:v>1.0256944444444456</c:v>
                </c:pt>
                <c:pt idx="1238">
                  <c:v>1.0263888888888901</c:v>
                </c:pt>
                <c:pt idx="1239">
                  <c:v>1.0270833333333347</c:v>
                </c:pt>
                <c:pt idx="1240">
                  <c:v>1.0277777777777792</c:v>
                </c:pt>
                <c:pt idx="1241">
                  <c:v>1.0284722222222238</c:v>
                </c:pt>
                <c:pt idx="1242">
                  <c:v>1.0291666666666683</c:v>
                </c:pt>
                <c:pt idx="1243">
                  <c:v>1.0298611111111129</c:v>
                </c:pt>
                <c:pt idx="1244">
                  <c:v>1.0305555555555574</c:v>
                </c:pt>
                <c:pt idx="1245">
                  <c:v>1.031250000000002</c:v>
                </c:pt>
                <c:pt idx="1246">
                  <c:v>1.0319444444444466</c:v>
                </c:pt>
                <c:pt idx="1247">
                  <c:v>1.0326388888888911</c:v>
                </c:pt>
                <c:pt idx="1248">
                  <c:v>1.0333333333333357</c:v>
                </c:pt>
                <c:pt idx="1249">
                  <c:v>1.0340277777777802</c:v>
                </c:pt>
                <c:pt idx="1250">
                  <c:v>1.0347222222222248</c:v>
                </c:pt>
                <c:pt idx="1251">
                  <c:v>1.0354166666666693</c:v>
                </c:pt>
                <c:pt idx="1252">
                  <c:v>1.0361111111111139</c:v>
                </c:pt>
                <c:pt idx="1253">
                  <c:v>1.0368055555555584</c:v>
                </c:pt>
                <c:pt idx="1254">
                  <c:v>1.037500000000003</c:v>
                </c:pt>
                <c:pt idx="1255">
                  <c:v>1.0381944444444475</c:v>
                </c:pt>
                <c:pt idx="1256">
                  <c:v>1.0388888888888921</c:v>
                </c:pt>
                <c:pt idx="1257">
                  <c:v>1.0395833333333366</c:v>
                </c:pt>
                <c:pt idx="1258">
                  <c:v>1.0402777777777812</c:v>
                </c:pt>
                <c:pt idx="1259">
                  <c:v>1.0409722222222257</c:v>
                </c:pt>
                <c:pt idx="1260">
                  <c:v>1.0416666666666703</c:v>
                </c:pt>
                <c:pt idx="1261">
                  <c:v>1.0423611111111148</c:v>
                </c:pt>
                <c:pt idx="1262">
                  <c:v>1.0430555555555594</c:v>
                </c:pt>
                <c:pt idx="1263">
                  <c:v>1.043750000000004</c:v>
                </c:pt>
                <c:pt idx="1264">
                  <c:v>1.0444444444444485</c:v>
                </c:pt>
                <c:pt idx="1265">
                  <c:v>1.0451388888888931</c:v>
                </c:pt>
                <c:pt idx="1266">
                  <c:v>1.0458333333333376</c:v>
                </c:pt>
                <c:pt idx="1267">
                  <c:v>1.0465277777777822</c:v>
                </c:pt>
                <c:pt idx="1268">
                  <c:v>1.0472222222222267</c:v>
                </c:pt>
                <c:pt idx="1269">
                  <c:v>1.0479166666666713</c:v>
                </c:pt>
                <c:pt idx="1270">
                  <c:v>1.0486111111111158</c:v>
                </c:pt>
                <c:pt idx="1271">
                  <c:v>1.0493055555555604</c:v>
                </c:pt>
                <c:pt idx="1272">
                  <c:v>1.0500000000000049</c:v>
                </c:pt>
                <c:pt idx="1273">
                  <c:v>1.0506944444444495</c:v>
                </c:pt>
                <c:pt idx="1274">
                  <c:v>1.051388888888894</c:v>
                </c:pt>
                <c:pt idx="1275">
                  <c:v>1.0520833333333386</c:v>
                </c:pt>
                <c:pt idx="1276">
                  <c:v>1.0527777777777831</c:v>
                </c:pt>
                <c:pt idx="1277">
                  <c:v>1.0534722222222277</c:v>
                </c:pt>
                <c:pt idx="1278">
                  <c:v>1.0541666666666722</c:v>
                </c:pt>
                <c:pt idx="1279">
                  <c:v>1.0548611111111168</c:v>
                </c:pt>
                <c:pt idx="1280">
                  <c:v>1.0555555555555614</c:v>
                </c:pt>
                <c:pt idx="1281">
                  <c:v>1.0562500000000059</c:v>
                </c:pt>
                <c:pt idx="1282">
                  <c:v>1.0569444444444505</c:v>
                </c:pt>
                <c:pt idx="1283">
                  <c:v>1.057638888888895</c:v>
                </c:pt>
                <c:pt idx="1284">
                  <c:v>1.0583333333333396</c:v>
                </c:pt>
                <c:pt idx="1285">
                  <c:v>1.0590277777777841</c:v>
                </c:pt>
                <c:pt idx="1286">
                  <c:v>1.0597222222222287</c:v>
                </c:pt>
                <c:pt idx="1287">
                  <c:v>1.0604166666666732</c:v>
                </c:pt>
                <c:pt idx="1288">
                  <c:v>1.0611111111111178</c:v>
                </c:pt>
                <c:pt idx="1289">
                  <c:v>1.0618055555555623</c:v>
                </c:pt>
                <c:pt idx="1290">
                  <c:v>1.0625000000000069</c:v>
                </c:pt>
                <c:pt idx="1291">
                  <c:v>1.0631944444444514</c:v>
                </c:pt>
                <c:pt idx="1292">
                  <c:v>1.063888888888896</c:v>
                </c:pt>
                <c:pt idx="1293">
                  <c:v>1.0645833333333405</c:v>
                </c:pt>
                <c:pt idx="1294">
                  <c:v>1.0652777777777851</c:v>
                </c:pt>
                <c:pt idx="1295">
                  <c:v>1.0659722222222296</c:v>
                </c:pt>
                <c:pt idx="1296">
                  <c:v>1.0666666666666742</c:v>
                </c:pt>
                <c:pt idx="1297">
                  <c:v>1.0673611111111188</c:v>
                </c:pt>
                <c:pt idx="1298">
                  <c:v>1.0680555555555633</c:v>
                </c:pt>
                <c:pt idx="1299">
                  <c:v>1.0687500000000079</c:v>
                </c:pt>
                <c:pt idx="1300">
                  <c:v>1.0694444444444524</c:v>
                </c:pt>
                <c:pt idx="1301">
                  <c:v>1.070138888888897</c:v>
                </c:pt>
                <c:pt idx="1302">
                  <c:v>1.0708333333333415</c:v>
                </c:pt>
                <c:pt idx="1303">
                  <c:v>1.0715277777777861</c:v>
                </c:pt>
                <c:pt idx="1304">
                  <c:v>1.0722222222222306</c:v>
                </c:pt>
                <c:pt idx="1305">
                  <c:v>1.0729166666666752</c:v>
                </c:pt>
                <c:pt idx="1306">
                  <c:v>1.0736111111111197</c:v>
                </c:pt>
                <c:pt idx="1307">
                  <c:v>1.0743055555555643</c:v>
                </c:pt>
                <c:pt idx="1308">
                  <c:v>1.0750000000000088</c:v>
                </c:pt>
                <c:pt idx="1309">
                  <c:v>1.0756944444444534</c:v>
                </c:pt>
                <c:pt idx="1310">
                  <c:v>1.0763888888888979</c:v>
                </c:pt>
                <c:pt idx="1311">
                  <c:v>1.0770833333333425</c:v>
                </c:pt>
                <c:pt idx="1312">
                  <c:v>1.077777777777787</c:v>
                </c:pt>
                <c:pt idx="1313">
                  <c:v>1.0784722222222316</c:v>
                </c:pt>
                <c:pt idx="1314">
                  <c:v>1.0791666666666762</c:v>
                </c:pt>
                <c:pt idx="1315">
                  <c:v>1.0798611111111207</c:v>
                </c:pt>
                <c:pt idx="1316">
                  <c:v>1.0805555555555653</c:v>
                </c:pt>
                <c:pt idx="1317">
                  <c:v>1.0812500000000098</c:v>
                </c:pt>
                <c:pt idx="1318">
                  <c:v>1.0819444444444544</c:v>
                </c:pt>
                <c:pt idx="1319">
                  <c:v>1.0826388888888989</c:v>
                </c:pt>
                <c:pt idx="1320">
                  <c:v>1.0833333333333435</c:v>
                </c:pt>
                <c:pt idx="1321">
                  <c:v>1.084027777777788</c:v>
                </c:pt>
                <c:pt idx="1322">
                  <c:v>1.0847222222222326</c:v>
                </c:pt>
                <c:pt idx="1323">
                  <c:v>1.0854166666666771</c:v>
                </c:pt>
                <c:pt idx="1324">
                  <c:v>1.0861111111111217</c:v>
                </c:pt>
                <c:pt idx="1325">
                  <c:v>1.0868055555555662</c:v>
                </c:pt>
                <c:pt idx="1326">
                  <c:v>1.0875000000000108</c:v>
                </c:pt>
                <c:pt idx="1327">
                  <c:v>1.0881944444444553</c:v>
                </c:pt>
                <c:pt idx="1328">
                  <c:v>1.0888888888888999</c:v>
                </c:pt>
                <c:pt idx="1329">
                  <c:v>1.0895833333333445</c:v>
                </c:pt>
                <c:pt idx="1330">
                  <c:v>1.090277777777789</c:v>
                </c:pt>
                <c:pt idx="1331">
                  <c:v>1.0909722222222336</c:v>
                </c:pt>
                <c:pt idx="1332">
                  <c:v>1.0916666666666781</c:v>
                </c:pt>
                <c:pt idx="1333">
                  <c:v>1.0923611111111227</c:v>
                </c:pt>
                <c:pt idx="1334">
                  <c:v>1.0930555555555672</c:v>
                </c:pt>
                <c:pt idx="1335">
                  <c:v>1.0937500000000118</c:v>
                </c:pt>
                <c:pt idx="1336">
                  <c:v>1.0944444444444563</c:v>
                </c:pt>
                <c:pt idx="1337">
                  <c:v>1.0951388888889009</c:v>
                </c:pt>
                <c:pt idx="1338">
                  <c:v>1.0958333333333454</c:v>
                </c:pt>
                <c:pt idx="1339">
                  <c:v>1.09652777777779</c:v>
                </c:pt>
                <c:pt idx="1340">
                  <c:v>1.0972222222222345</c:v>
                </c:pt>
                <c:pt idx="1341">
                  <c:v>1.0979166666666791</c:v>
                </c:pt>
                <c:pt idx="1342">
                  <c:v>1.0986111111111236</c:v>
                </c:pt>
                <c:pt idx="1343">
                  <c:v>1.0993055555555682</c:v>
                </c:pt>
                <c:pt idx="1344">
                  <c:v>1.1000000000000127</c:v>
                </c:pt>
                <c:pt idx="1345">
                  <c:v>1.1006944444444573</c:v>
                </c:pt>
                <c:pt idx="1346">
                  <c:v>1.1013888888889019</c:v>
                </c:pt>
                <c:pt idx="1347">
                  <c:v>1.1020833333333464</c:v>
                </c:pt>
                <c:pt idx="1348">
                  <c:v>1.102777777777791</c:v>
                </c:pt>
                <c:pt idx="1349">
                  <c:v>1.1034722222222355</c:v>
                </c:pt>
                <c:pt idx="1350">
                  <c:v>1.1041666666666801</c:v>
                </c:pt>
                <c:pt idx="1351">
                  <c:v>1.1048611111111246</c:v>
                </c:pt>
                <c:pt idx="1352">
                  <c:v>1.1055555555555692</c:v>
                </c:pt>
                <c:pt idx="1353">
                  <c:v>1.1062500000000137</c:v>
                </c:pt>
                <c:pt idx="1354">
                  <c:v>1.1069444444444583</c:v>
                </c:pt>
                <c:pt idx="1355">
                  <c:v>1.1076388888889028</c:v>
                </c:pt>
                <c:pt idx="1356">
                  <c:v>1.1083333333333474</c:v>
                </c:pt>
                <c:pt idx="1357">
                  <c:v>1.1090277777777919</c:v>
                </c:pt>
                <c:pt idx="1358">
                  <c:v>1.1097222222222365</c:v>
                </c:pt>
                <c:pt idx="1359">
                  <c:v>1.110416666666681</c:v>
                </c:pt>
                <c:pt idx="1360">
                  <c:v>1.1111111111111256</c:v>
                </c:pt>
                <c:pt idx="1361">
                  <c:v>1.1118055555555701</c:v>
                </c:pt>
                <c:pt idx="1362">
                  <c:v>1.1125000000000147</c:v>
                </c:pt>
                <c:pt idx="1363">
                  <c:v>1.1131944444444593</c:v>
                </c:pt>
                <c:pt idx="1364">
                  <c:v>1.1138888888889038</c:v>
                </c:pt>
                <c:pt idx="1365">
                  <c:v>1.1145833333333484</c:v>
                </c:pt>
                <c:pt idx="1366">
                  <c:v>1.1152777777777929</c:v>
                </c:pt>
                <c:pt idx="1367">
                  <c:v>1.1159722222222375</c:v>
                </c:pt>
                <c:pt idx="1368">
                  <c:v>1.116666666666682</c:v>
                </c:pt>
                <c:pt idx="1369">
                  <c:v>1.1173611111111266</c:v>
                </c:pt>
                <c:pt idx="1370">
                  <c:v>1.1180555555555711</c:v>
                </c:pt>
                <c:pt idx="1371">
                  <c:v>1.1187500000000157</c:v>
                </c:pt>
                <c:pt idx="1372">
                  <c:v>1.1194444444444602</c:v>
                </c:pt>
                <c:pt idx="1373">
                  <c:v>1.1201388888889048</c:v>
                </c:pt>
                <c:pt idx="1374">
                  <c:v>1.1208333333333493</c:v>
                </c:pt>
                <c:pt idx="1375">
                  <c:v>1.1215277777777939</c:v>
                </c:pt>
                <c:pt idx="1376">
                  <c:v>1.1222222222222384</c:v>
                </c:pt>
                <c:pt idx="1377">
                  <c:v>1.122916666666683</c:v>
                </c:pt>
                <c:pt idx="1378">
                  <c:v>1.1236111111111275</c:v>
                </c:pt>
                <c:pt idx="1379">
                  <c:v>1.1243055555555721</c:v>
                </c:pt>
                <c:pt idx="1380">
                  <c:v>1.1250000000000167</c:v>
                </c:pt>
                <c:pt idx="1381">
                  <c:v>1.1256944444444612</c:v>
                </c:pt>
                <c:pt idx="1382">
                  <c:v>1.1263888888889058</c:v>
                </c:pt>
                <c:pt idx="1383">
                  <c:v>1.1270833333333503</c:v>
                </c:pt>
                <c:pt idx="1384">
                  <c:v>1.1277777777777949</c:v>
                </c:pt>
                <c:pt idx="1385">
                  <c:v>1.1284722222222394</c:v>
                </c:pt>
                <c:pt idx="1386">
                  <c:v>1.129166666666684</c:v>
                </c:pt>
                <c:pt idx="1387">
                  <c:v>1.1298611111111285</c:v>
                </c:pt>
                <c:pt idx="1388">
                  <c:v>1.1305555555555731</c:v>
                </c:pt>
                <c:pt idx="1389">
                  <c:v>1.1312500000000176</c:v>
                </c:pt>
                <c:pt idx="1390">
                  <c:v>1.1319444444444622</c:v>
                </c:pt>
                <c:pt idx="1391">
                  <c:v>1.1326388888889067</c:v>
                </c:pt>
                <c:pt idx="1392">
                  <c:v>1.1333333333333513</c:v>
                </c:pt>
                <c:pt idx="1393">
                  <c:v>1.1340277777777958</c:v>
                </c:pt>
                <c:pt idx="1394">
                  <c:v>1.1347222222222404</c:v>
                </c:pt>
                <c:pt idx="1395">
                  <c:v>1.1354166666666849</c:v>
                </c:pt>
                <c:pt idx="1396">
                  <c:v>1.1361111111111295</c:v>
                </c:pt>
                <c:pt idx="1397">
                  <c:v>1.1368055555555741</c:v>
                </c:pt>
                <c:pt idx="1398">
                  <c:v>1.1375000000000186</c:v>
                </c:pt>
                <c:pt idx="1399">
                  <c:v>1.1381944444444632</c:v>
                </c:pt>
                <c:pt idx="1400">
                  <c:v>1.1388888888889077</c:v>
                </c:pt>
                <c:pt idx="1401">
                  <c:v>1.1395833333333523</c:v>
                </c:pt>
                <c:pt idx="1402">
                  <c:v>1.1402777777777968</c:v>
                </c:pt>
                <c:pt idx="1403">
                  <c:v>1.1409722222222414</c:v>
                </c:pt>
                <c:pt idx="1404">
                  <c:v>1.1416666666666859</c:v>
                </c:pt>
                <c:pt idx="1405">
                  <c:v>1.1423611111111305</c:v>
                </c:pt>
                <c:pt idx="1406">
                  <c:v>1.143055555555575</c:v>
                </c:pt>
                <c:pt idx="1407">
                  <c:v>1.1437500000000196</c:v>
                </c:pt>
                <c:pt idx="1408">
                  <c:v>1.1444444444444641</c:v>
                </c:pt>
                <c:pt idx="1409">
                  <c:v>1.1451388888889087</c:v>
                </c:pt>
                <c:pt idx="1410">
                  <c:v>1.1458333333333532</c:v>
                </c:pt>
                <c:pt idx="1411">
                  <c:v>1.1465277777777978</c:v>
                </c:pt>
                <c:pt idx="1412">
                  <c:v>1.1472222222222423</c:v>
                </c:pt>
                <c:pt idx="1413">
                  <c:v>1.1479166666666869</c:v>
                </c:pt>
                <c:pt idx="1414">
                  <c:v>1.1486111111111315</c:v>
                </c:pt>
                <c:pt idx="1415">
                  <c:v>1.149305555555576</c:v>
                </c:pt>
                <c:pt idx="1416">
                  <c:v>1.1500000000000206</c:v>
                </c:pt>
                <c:pt idx="1417">
                  <c:v>1.1506944444444651</c:v>
                </c:pt>
                <c:pt idx="1418">
                  <c:v>1.1513888888889097</c:v>
                </c:pt>
                <c:pt idx="1419">
                  <c:v>1.1520833333333542</c:v>
                </c:pt>
                <c:pt idx="1420">
                  <c:v>1.1527777777777988</c:v>
                </c:pt>
                <c:pt idx="1421">
                  <c:v>1.1534722222222433</c:v>
                </c:pt>
                <c:pt idx="1422">
                  <c:v>1.1541666666666879</c:v>
                </c:pt>
                <c:pt idx="1423">
                  <c:v>1.1548611111111324</c:v>
                </c:pt>
                <c:pt idx="1424">
                  <c:v>1.155555555555577</c:v>
                </c:pt>
                <c:pt idx="1425">
                  <c:v>1.1562500000000215</c:v>
                </c:pt>
                <c:pt idx="1426">
                  <c:v>1.1569444444444661</c:v>
                </c:pt>
                <c:pt idx="1427">
                  <c:v>1.1576388888889106</c:v>
                </c:pt>
                <c:pt idx="1428">
                  <c:v>1.1583333333333552</c:v>
                </c:pt>
                <c:pt idx="1429">
                  <c:v>1.1590277777777998</c:v>
                </c:pt>
                <c:pt idx="1430">
                  <c:v>1.1597222222222443</c:v>
                </c:pt>
                <c:pt idx="1431">
                  <c:v>1.1604166666666889</c:v>
                </c:pt>
                <c:pt idx="1432">
                  <c:v>1.1611111111111334</c:v>
                </c:pt>
                <c:pt idx="1433">
                  <c:v>1.161805555555578</c:v>
                </c:pt>
                <c:pt idx="1434">
                  <c:v>1.1625000000000225</c:v>
                </c:pt>
                <c:pt idx="1435">
                  <c:v>1.1631944444444671</c:v>
                </c:pt>
                <c:pt idx="1436">
                  <c:v>1.1638888888889116</c:v>
                </c:pt>
                <c:pt idx="1437">
                  <c:v>1.1645833333333562</c:v>
                </c:pt>
                <c:pt idx="1438">
                  <c:v>1.1652777777778007</c:v>
                </c:pt>
                <c:pt idx="1439">
                  <c:v>1.1659722222222453</c:v>
                </c:pt>
              </c:numCache>
            </c:numRef>
          </c:cat>
          <c:val>
            <c:numRef>
              <c:f>'Full Data Array'!$BG$4:$BG$1443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6C-47C2-8E21-F000035A7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34304"/>
        <c:axId val="292436608"/>
      </c:areaChart>
      <c:catAx>
        <c:axId val="2924343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low"/>
        <c:spPr>
          <a:ln w="9525">
            <a:round/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292436608"/>
        <c:crosses val="autoZero"/>
        <c:auto val="0"/>
        <c:lblAlgn val="ctr"/>
        <c:lblOffset val="1"/>
        <c:tickLblSkip val="60"/>
        <c:tickMarkSkip val="240"/>
        <c:noMultiLvlLbl val="0"/>
      </c:catAx>
      <c:valAx>
        <c:axId val="292436608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92434304"/>
        <c:crossesAt val="1"/>
        <c:crossBetween val="midCat"/>
      </c:valAx>
      <c:spPr>
        <a:ln>
          <a:noFill/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>
      <c:oddFooter>&amp;L&amp;G&amp;RRADC Memory and Aging Project 2017</c:oddFooter>
    </c:headerFooter>
    <c:pageMargins b="0.74803149606299202" l="0.70866141732283505" r="0.70866141732283505" t="0.74803149606299202" header="0.31496062992126" footer="0.31496062992126"/>
    <c:pageSetup paperSize="9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88599389585711E-3"/>
          <c:y val="0"/>
          <c:w val="0.99701710106638808"/>
          <c:h val="0.957261857419338"/>
        </c:manualLayout>
      </c:layout>
      <c:areaChart>
        <c:grouping val="standard"/>
        <c:varyColors val="0"/>
        <c:ser>
          <c:idx val="0"/>
          <c:order val="0"/>
          <c:tx>
            <c:v>ave act</c:v>
          </c:tx>
          <c:spPr>
            <a:solidFill>
              <a:schemeClr val="bg1">
                <a:lumMod val="50000"/>
              </a:schemeClr>
            </a:solidFill>
            <a:ln w="12700">
              <a:noFill/>
            </a:ln>
          </c:spPr>
          <c:cat>
            <c:numRef>
              <c:f>'Full Data Array'!$BE$4:$BE$1443</c:f>
              <c:numCache>
                <c:formatCode>h:mm</c:formatCode>
                <c:ptCount val="1440"/>
                <c:pt idx="0">
                  <c:v>0.16666666666666666</c:v>
                </c:pt>
                <c:pt idx="1">
                  <c:v>0.1673611111111111</c:v>
                </c:pt>
                <c:pt idx="2">
                  <c:v>0.16805555555555554</c:v>
                </c:pt>
                <c:pt idx="3">
                  <c:v>0.16874999999999998</c:v>
                </c:pt>
                <c:pt idx="4">
                  <c:v>0.16944444444444443</c:v>
                </c:pt>
                <c:pt idx="5">
                  <c:v>0.17013888888888887</c:v>
                </c:pt>
                <c:pt idx="6">
                  <c:v>0.17083333333333331</c:v>
                </c:pt>
                <c:pt idx="7">
                  <c:v>0.17152777777777775</c:v>
                </c:pt>
                <c:pt idx="8">
                  <c:v>0.17222222222222219</c:v>
                </c:pt>
                <c:pt idx="9">
                  <c:v>0.17291666666666664</c:v>
                </c:pt>
                <c:pt idx="10">
                  <c:v>0.17361111111111108</c:v>
                </c:pt>
                <c:pt idx="11">
                  <c:v>0.17430555555555552</c:v>
                </c:pt>
                <c:pt idx="12">
                  <c:v>0.17499999999999996</c:v>
                </c:pt>
                <c:pt idx="13">
                  <c:v>0.1756944444444444</c:v>
                </c:pt>
                <c:pt idx="14">
                  <c:v>0.17638888888888885</c:v>
                </c:pt>
                <c:pt idx="15">
                  <c:v>0.17708333333333329</c:v>
                </c:pt>
                <c:pt idx="16">
                  <c:v>0.17777777777777773</c:v>
                </c:pt>
                <c:pt idx="17">
                  <c:v>0.17847222222222217</c:v>
                </c:pt>
                <c:pt idx="18">
                  <c:v>0.17916666666666661</c:v>
                </c:pt>
                <c:pt idx="19">
                  <c:v>0.17986111111111105</c:v>
                </c:pt>
                <c:pt idx="20">
                  <c:v>0.1805555555555555</c:v>
                </c:pt>
                <c:pt idx="21">
                  <c:v>0.18124999999999994</c:v>
                </c:pt>
                <c:pt idx="22">
                  <c:v>0.18194444444444438</c:v>
                </c:pt>
                <c:pt idx="23">
                  <c:v>0.18263888888888882</c:v>
                </c:pt>
                <c:pt idx="24">
                  <c:v>0.18333333333333326</c:v>
                </c:pt>
                <c:pt idx="25">
                  <c:v>0.18402777777777771</c:v>
                </c:pt>
                <c:pt idx="26">
                  <c:v>0.18472222222222215</c:v>
                </c:pt>
                <c:pt idx="27">
                  <c:v>0.18541666666666659</c:v>
                </c:pt>
                <c:pt idx="28">
                  <c:v>0.18611111111111103</c:v>
                </c:pt>
                <c:pt idx="29">
                  <c:v>0.18680555555555547</c:v>
                </c:pt>
                <c:pt idx="30">
                  <c:v>0.18749999999999992</c:v>
                </c:pt>
                <c:pt idx="31">
                  <c:v>0.18819444444444436</c:v>
                </c:pt>
                <c:pt idx="32">
                  <c:v>0.1888888888888888</c:v>
                </c:pt>
                <c:pt idx="33">
                  <c:v>0.18958333333333324</c:v>
                </c:pt>
                <c:pt idx="34">
                  <c:v>0.19027777777777768</c:v>
                </c:pt>
                <c:pt idx="35">
                  <c:v>0.19097222222222213</c:v>
                </c:pt>
                <c:pt idx="36">
                  <c:v>0.19166666666666657</c:v>
                </c:pt>
                <c:pt idx="37">
                  <c:v>0.19236111111111101</c:v>
                </c:pt>
                <c:pt idx="38">
                  <c:v>0.19305555555555545</c:v>
                </c:pt>
                <c:pt idx="39">
                  <c:v>0.19374999999999989</c:v>
                </c:pt>
                <c:pt idx="40">
                  <c:v>0.19444444444444434</c:v>
                </c:pt>
                <c:pt idx="41">
                  <c:v>0.19513888888888878</c:v>
                </c:pt>
                <c:pt idx="42">
                  <c:v>0.19583333333333322</c:v>
                </c:pt>
                <c:pt idx="43">
                  <c:v>0.19652777777777766</c:v>
                </c:pt>
                <c:pt idx="44">
                  <c:v>0.1972222222222221</c:v>
                </c:pt>
                <c:pt idx="45">
                  <c:v>0.19791666666666655</c:v>
                </c:pt>
                <c:pt idx="46">
                  <c:v>0.19861111111111099</c:v>
                </c:pt>
                <c:pt idx="47">
                  <c:v>0.19930555555555543</c:v>
                </c:pt>
                <c:pt idx="48">
                  <c:v>0.19999999999999987</c:v>
                </c:pt>
                <c:pt idx="49">
                  <c:v>0.20069444444444431</c:v>
                </c:pt>
                <c:pt idx="50">
                  <c:v>0.20138888888888876</c:v>
                </c:pt>
                <c:pt idx="51">
                  <c:v>0.2020833333333332</c:v>
                </c:pt>
                <c:pt idx="52">
                  <c:v>0.20277777777777764</c:v>
                </c:pt>
                <c:pt idx="53">
                  <c:v>0.20347222222222208</c:v>
                </c:pt>
                <c:pt idx="54">
                  <c:v>0.20416666666666652</c:v>
                </c:pt>
                <c:pt idx="55">
                  <c:v>0.20486111111111097</c:v>
                </c:pt>
                <c:pt idx="56">
                  <c:v>0.20555555555555541</c:v>
                </c:pt>
                <c:pt idx="57">
                  <c:v>0.20624999999999985</c:v>
                </c:pt>
                <c:pt idx="58">
                  <c:v>0.20694444444444429</c:v>
                </c:pt>
                <c:pt idx="59">
                  <c:v>0.20763888888888873</c:v>
                </c:pt>
                <c:pt idx="60">
                  <c:v>0.20833333333333318</c:v>
                </c:pt>
                <c:pt idx="61">
                  <c:v>0.20902777777777762</c:v>
                </c:pt>
                <c:pt idx="62">
                  <c:v>0.20972222222222206</c:v>
                </c:pt>
                <c:pt idx="63">
                  <c:v>0.2104166666666665</c:v>
                </c:pt>
                <c:pt idx="64">
                  <c:v>0.21111111111111094</c:v>
                </c:pt>
                <c:pt idx="65">
                  <c:v>0.21180555555555539</c:v>
                </c:pt>
                <c:pt idx="66">
                  <c:v>0.21249999999999983</c:v>
                </c:pt>
                <c:pt idx="67">
                  <c:v>0.21319444444444427</c:v>
                </c:pt>
                <c:pt idx="68">
                  <c:v>0.21388888888888871</c:v>
                </c:pt>
                <c:pt idx="69">
                  <c:v>0.21458333333333315</c:v>
                </c:pt>
                <c:pt idx="70">
                  <c:v>0.2152777777777776</c:v>
                </c:pt>
                <c:pt idx="71">
                  <c:v>0.21597222222222204</c:v>
                </c:pt>
                <c:pt idx="72">
                  <c:v>0.21666666666666648</c:v>
                </c:pt>
                <c:pt idx="73">
                  <c:v>0.21736111111111092</c:v>
                </c:pt>
                <c:pt idx="74">
                  <c:v>0.21805555555555536</c:v>
                </c:pt>
                <c:pt idx="75">
                  <c:v>0.21874999999999981</c:v>
                </c:pt>
                <c:pt idx="76">
                  <c:v>0.21944444444444425</c:v>
                </c:pt>
                <c:pt idx="77">
                  <c:v>0.22013888888888869</c:v>
                </c:pt>
                <c:pt idx="78">
                  <c:v>0.22083333333333313</c:v>
                </c:pt>
                <c:pt idx="79">
                  <c:v>0.22152777777777757</c:v>
                </c:pt>
                <c:pt idx="80">
                  <c:v>0.22222222222222202</c:v>
                </c:pt>
                <c:pt idx="81">
                  <c:v>0.22291666666666646</c:v>
                </c:pt>
                <c:pt idx="82">
                  <c:v>0.2236111111111109</c:v>
                </c:pt>
                <c:pt idx="83">
                  <c:v>0.22430555555555534</c:v>
                </c:pt>
                <c:pt idx="84">
                  <c:v>0.22499999999999978</c:v>
                </c:pt>
                <c:pt idx="85">
                  <c:v>0.22569444444444423</c:v>
                </c:pt>
                <c:pt idx="86">
                  <c:v>0.22638888888888867</c:v>
                </c:pt>
                <c:pt idx="87">
                  <c:v>0.22708333333333311</c:v>
                </c:pt>
                <c:pt idx="88">
                  <c:v>0.22777777777777755</c:v>
                </c:pt>
                <c:pt idx="89">
                  <c:v>0.22847222222222199</c:v>
                </c:pt>
                <c:pt idx="90">
                  <c:v>0.22916666666666644</c:v>
                </c:pt>
                <c:pt idx="91">
                  <c:v>0.22986111111111088</c:v>
                </c:pt>
                <c:pt idx="92">
                  <c:v>0.23055555555555532</c:v>
                </c:pt>
                <c:pt idx="93">
                  <c:v>0.23124999999999976</c:v>
                </c:pt>
                <c:pt idx="94">
                  <c:v>0.2319444444444442</c:v>
                </c:pt>
                <c:pt idx="95">
                  <c:v>0.23263888888888865</c:v>
                </c:pt>
                <c:pt idx="96">
                  <c:v>0.23333333333333309</c:v>
                </c:pt>
                <c:pt idx="97">
                  <c:v>0.23402777777777753</c:v>
                </c:pt>
                <c:pt idx="98">
                  <c:v>0.23472222222222197</c:v>
                </c:pt>
                <c:pt idx="99">
                  <c:v>0.23541666666666641</c:v>
                </c:pt>
                <c:pt idx="100">
                  <c:v>0.23611111111111086</c:v>
                </c:pt>
                <c:pt idx="101">
                  <c:v>0.2368055555555553</c:v>
                </c:pt>
                <c:pt idx="102">
                  <c:v>0.23749999999999974</c:v>
                </c:pt>
                <c:pt idx="103">
                  <c:v>0.23819444444444418</c:v>
                </c:pt>
                <c:pt idx="104">
                  <c:v>0.23888888888888862</c:v>
                </c:pt>
                <c:pt idx="105">
                  <c:v>0.23958333333333307</c:v>
                </c:pt>
                <c:pt idx="106">
                  <c:v>0.24027777777777751</c:v>
                </c:pt>
                <c:pt idx="107">
                  <c:v>0.24097222222222195</c:v>
                </c:pt>
                <c:pt idx="108">
                  <c:v>0.24166666666666639</c:v>
                </c:pt>
                <c:pt idx="109">
                  <c:v>0.24236111111111083</c:v>
                </c:pt>
                <c:pt idx="110">
                  <c:v>0.24305555555555527</c:v>
                </c:pt>
                <c:pt idx="111">
                  <c:v>0.24374999999999972</c:v>
                </c:pt>
                <c:pt idx="112">
                  <c:v>0.24444444444444416</c:v>
                </c:pt>
                <c:pt idx="113">
                  <c:v>0.2451388888888886</c:v>
                </c:pt>
                <c:pt idx="114">
                  <c:v>0.24583333333333304</c:v>
                </c:pt>
                <c:pt idx="115">
                  <c:v>0.24652777777777748</c:v>
                </c:pt>
                <c:pt idx="116">
                  <c:v>0.24722222222222193</c:v>
                </c:pt>
                <c:pt idx="117">
                  <c:v>0.24791666666666637</c:v>
                </c:pt>
                <c:pt idx="118">
                  <c:v>0.24861111111111081</c:v>
                </c:pt>
                <c:pt idx="119">
                  <c:v>0.24930555555555525</c:v>
                </c:pt>
                <c:pt idx="120">
                  <c:v>0.24999999999999969</c:v>
                </c:pt>
                <c:pt idx="121">
                  <c:v>0.25069444444444416</c:v>
                </c:pt>
                <c:pt idx="122">
                  <c:v>0.25138888888888861</c:v>
                </c:pt>
                <c:pt idx="123">
                  <c:v>0.25208333333333305</c:v>
                </c:pt>
                <c:pt idx="124">
                  <c:v>0.25277777777777749</c:v>
                </c:pt>
                <c:pt idx="125">
                  <c:v>0.25347222222222193</c:v>
                </c:pt>
                <c:pt idx="126">
                  <c:v>0.25416666666666637</c:v>
                </c:pt>
                <c:pt idx="127">
                  <c:v>0.25486111111111082</c:v>
                </c:pt>
                <c:pt idx="128">
                  <c:v>0.25555555555555526</c:v>
                </c:pt>
                <c:pt idx="129">
                  <c:v>0.2562499999999997</c:v>
                </c:pt>
                <c:pt idx="130">
                  <c:v>0.25694444444444414</c:v>
                </c:pt>
                <c:pt idx="131">
                  <c:v>0.25763888888888858</c:v>
                </c:pt>
                <c:pt idx="132">
                  <c:v>0.25833333333333303</c:v>
                </c:pt>
                <c:pt idx="133">
                  <c:v>0.25902777777777747</c:v>
                </c:pt>
                <c:pt idx="134">
                  <c:v>0.25972222222222191</c:v>
                </c:pt>
                <c:pt idx="135">
                  <c:v>0.26041666666666635</c:v>
                </c:pt>
                <c:pt idx="136">
                  <c:v>0.26111111111111079</c:v>
                </c:pt>
                <c:pt idx="137">
                  <c:v>0.26180555555555524</c:v>
                </c:pt>
                <c:pt idx="138">
                  <c:v>0.26249999999999968</c:v>
                </c:pt>
                <c:pt idx="139">
                  <c:v>0.26319444444444412</c:v>
                </c:pt>
                <c:pt idx="140">
                  <c:v>0.26388888888888856</c:v>
                </c:pt>
                <c:pt idx="141">
                  <c:v>0.264583333333333</c:v>
                </c:pt>
                <c:pt idx="142">
                  <c:v>0.26527777777777745</c:v>
                </c:pt>
                <c:pt idx="143">
                  <c:v>0.26597222222222189</c:v>
                </c:pt>
                <c:pt idx="144">
                  <c:v>0.26666666666666633</c:v>
                </c:pt>
                <c:pt idx="145">
                  <c:v>0.26736111111111077</c:v>
                </c:pt>
                <c:pt idx="146">
                  <c:v>0.26805555555555521</c:v>
                </c:pt>
                <c:pt idx="147">
                  <c:v>0.26874999999999966</c:v>
                </c:pt>
                <c:pt idx="148">
                  <c:v>0.2694444444444441</c:v>
                </c:pt>
                <c:pt idx="149">
                  <c:v>0.27013888888888854</c:v>
                </c:pt>
                <c:pt idx="150">
                  <c:v>0.27083333333333298</c:v>
                </c:pt>
                <c:pt idx="151">
                  <c:v>0.27152777777777742</c:v>
                </c:pt>
                <c:pt idx="152">
                  <c:v>0.27222222222222187</c:v>
                </c:pt>
                <c:pt idx="153">
                  <c:v>0.27291666666666631</c:v>
                </c:pt>
                <c:pt idx="154">
                  <c:v>0.27361111111111075</c:v>
                </c:pt>
                <c:pt idx="155">
                  <c:v>0.27430555555555519</c:v>
                </c:pt>
                <c:pt idx="156">
                  <c:v>0.27499999999999963</c:v>
                </c:pt>
                <c:pt idx="157">
                  <c:v>0.27569444444444408</c:v>
                </c:pt>
                <c:pt idx="158">
                  <c:v>0.27638888888888852</c:v>
                </c:pt>
                <c:pt idx="159">
                  <c:v>0.27708333333333296</c:v>
                </c:pt>
                <c:pt idx="160">
                  <c:v>0.2777777777777774</c:v>
                </c:pt>
                <c:pt idx="161">
                  <c:v>0.27847222222222184</c:v>
                </c:pt>
                <c:pt idx="162">
                  <c:v>0.27916666666666629</c:v>
                </c:pt>
                <c:pt idx="163">
                  <c:v>0.27986111111111073</c:v>
                </c:pt>
                <c:pt idx="164">
                  <c:v>0.28055555555555517</c:v>
                </c:pt>
                <c:pt idx="165">
                  <c:v>0.28124999999999961</c:v>
                </c:pt>
                <c:pt idx="166">
                  <c:v>0.28194444444444405</c:v>
                </c:pt>
                <c:pt idx="167">
                  <c:v>0.2826388888888885</c:v>
                </c:pt>
                <c:pt idx="168">
                  <c:v>0.28333333333333294</c:v>
                </c:pt>
                <c:pt idx="169">
                  <c:v>0.28402777777777738</c:v>
                </c:pt>
                <c:pt idx="170">
                  <c:v>0.28472222222222182</c:v>
                </c:pt>
                <c:pt idx="171">
                  <c:v>0.28541666666666626</c:v>
                </c:pt>
                <c:pt idx="172">
                  <c:v>0.28611111111111071</c:v>
                </c:pt>
                <c:pt idx="173">
                  <c:v>0.28680555555555515</c:v>
                </c:pt>
                <c:pt idx="174">
                  <c:v>0.28749999999999959</c:v>
                </c:pt>
                <c:pt idx="175">
                  <c:v>0.28819444444444403</c:v>
                </c:pt>
                <c:pt idx="176">
                  <c:v>0.28888888888888847</c:v>
                </c:pt>
                <c:pt idx="177">
                  <c:v>0.28958333333333292</c:v>
                </c:pt>
                <c:pt idx="178">
                  <c:v>0.29027777777777736</c:v>
                </c:pt>
                <c:pt idx="179">
                  <c:v>0.2909722222222218</c:v>
                </c:pt>
                <c:pt idx="180">
                  <c:v>0.29166666666666624</c:v>
                </c:pt>
                <c:pt idx="181">
                  <c:v>0.29236111111111068</c:v>
                </c:pt>
                <c:pt idx="182">
                  <c:v>0.29305555555555513</c:v>
                </c:pt>
                <c:pt idx="183">
                  <c:v>0.29374999999999957</c:v>
                </c:pt>
                <c:pt idx="184">
                  <c:v>0.29444444444444401</c:v>
                </c:pt>
                <c:pt idx="185">
                  <c:v>0.29513888888888845</c:v>
                </c:pt>
                <c:pt idx="186">
                  <c:v>0.29583333333333289</c:v>
                </c:pt>
                <c:pt idx="187">
                  <c:v>0.29652777777777733</c:v>
                </c:pt>
                <c:pt idx="188">
                  <c:v>0.29722222222222178</c:v>
                </c:pt>
                <c:pt idx="189">
                  <c:v>0.29791666666666622</c:v>
                </c:pt>
                <c:pt idx="190">
                  <c:v>0.29861111111111066</c:v>
                </c:pt>
                <c:pt idx="191">
                  <c:v>0.2993055555555551</c:v>
                </c:pt>
                <c:pt idx="192">
                  <c:v>0.29999999999999954</c:v>
                </c:pt>
                <c:pt idx="193">
                  <c:v>0.30069444444444399</c:v>
                </c:pt>
                <c:pt idx="194">
                  <c:v>0.30138888888888843</c:v>
                </c:pt>
                <c:pt idx="195">
                  <c:v>0.30208333333333287</c:v>
                </c:pt>
                <c:pt idx="196">
                  <c:v>0.30277777777777731</c:v>
                </c:pt>
                <c:pt idx="197">
                  <c:v>0.30347222222222175</c:v>
                </c:pt>
                <c:pt idx="198">
                  <c:v>0.3041666666666662</c:v>
                </c:pt>
                <c:pt idx="199">
                  <c:v>0.30486111111111064</c:v>
                </c:pt>
                <c:pt idx="200">
                  <c:v>0.30555555555555508</c:v>
                </c:pt>
                <c:pt idx="201">
                  <c:v>0.30624999999999952</c:v>
                </c:pt>
                <c:pt idx="202">
                  <c:v>0.30694444444444396</c:v>
                </c:pt>
                <c:pt idx="203">
                  <c:v>0.30763888888888841</c:v>
                </c:pt>
                <c:pt idx="204">
                  <c:v>0.30833333333333285</c:v>
                </c:pt>
                <c:pt idx="205">
                  <c:v>0.30902777777777729</c:v>
                </c:pt>
                <c:pt idx="206">
                  <c:v>0.30972222222222173</c:v>
                </c:pt>
                <c:pt idx="207">
                  <c:v>0.31041666666666617</c:v>
                </c:pt>
                <c:pt idx="208">
                  <c:v>0.31111111111111062</c:v>
                </c:pt>
                <c:pt idx="209">
                  <c:v>0.31180555555555506</c:v>
                </c:pt>
                <c:pt idx="210">
                  <c:v>0.3124999999999995</c:v>
                </c:pt>
                <c:pt idx="211">
                  <c:v>0.31319444444444394</c:v>
                </c:pt>
                <c:pt idx="212">
                  <c:v>0.31388888888888838</c:v>
                </c:pt>
                <c:pt idx="213">
                  <c:v>0.31458333333333283</c:v>
                </c:pt>
                <c:pt idx="214">
                  <c:v>0.31527777777777727</c:v>
                </c:pt>
                <c:pt idx="215">
                  <c:v>0.31597222222222171</c:v>
                </c:pt>
                <c:pt idx="216">
                  <c:v>0.31666666666666615</c:v>
                </c:pt>
                <c:pt idx="217">
                  <c:v>0.31736111111111059</c:v>
                </c:pt>
                <c:pt idx="218">
                  <c:v>0.31805555555555504</c:v>
                </c:pt>
                <c:pt idx="219">
                  <c:v>0.31874999999999948</c:v>
                </c:pt>
                <c:pt idx="220">
                  <c:v>0.31944444444444392</c:v>
                </c:pt>
                <c:pt idx="221">
                  <c:v>0.32013888888888836</c:v>
                </c:pt>
                <c:pt idx="222">
                  <c:v>0.3208333333333328</c:v>
                </c:pt>
                <c:pt idx="223">
                  <c:v>0.32152777777777725</c:v>
                </c:pt>
                <c:pt idx="224">
                  <c:v>0.32222222222222169</c:v>
                </c:pt>
                <c:pt idx="225">
                  <c:v>0.32291666666666613</c:v>
                </c:pt>
                <c:pt idx="226">
                  <c:v>0.32361111111111057</c:v>
                </c:pt>
                <c:pt idx="227">
                  <c:v>0.32430555555555501</c:v>
                </c:pt>
                <c:pt idx="228">
                  <c:v>0.32499999999999946</c:v>
                </c:pt>
                <c:pt idx="229">
                  <c:v>0.3256944444444439</c:v>
                </c:pt>
                <c:pt idx="230">
                  <c:v>0.32638888888888834</c:v>
                </c:pt>
                <c:pt idx="231">
                  <c:v>0.32708333333333278</c:v>
                </c:pt>
                <c:pt idx="232">
                  <c:v>0.32777777777777722</c:v>
                </c:pt>
                <c:pt idx="233">
                  <c:v>0.32847222222222167</c:v>
                </c:pt>
                <c:pt idx="234">
                  <c:v>0.32916666666666611</c:v>
                </c:pt>
                <c:pt idx="235">
                  <c:v>0.32986111111111055</c:v>
                </c:pt>
                <c:pt idx="236">
                  <c:v>0.33055555555555499</c:v>
                </c:pt>
                <c:pt idx="237">
                  <c:v>0.33124999999999943</c:v>
                </c:pt>
                <c:pt idx="238">
                  <c:v>0.33194444444444388</c:v>
                </c:pt>
                <c:pt idx="239">
                  <c:v>0.33263888888888832</c:v>
                </c:pt>
                <c:pt idx="240">
                  <c:v>0.33333333333333276</c:v>
                </c:pt>
                <c:pt idx="241">
                  <c:v>0.3340277777777772</c:v>
                </c:pt>
                <c:pt idx="242">
                  <c:v>0.33472222222222164</c:v>
                </c:pt>
                <c:pt idx="243">
                  <c:v>0.33541666666666609</c:v>
                </c:pt>
                <c:pt idx="244">
                  <c:v>0.33611111111111053</c:v>
                </c:pt>
                <c:pt idx="245">
                  <c:v>0.33680555555555497</c:v>
                </c:pt>
                <c:pt idx="246">
                  <c:v>0.33749999999999941</c:v>
                </c:pt>
                <c:pt idx="247">
                  <c:v>0.33819444444444385</c:v>
                </c:pt>
                <c:pt idx="248">
                  <c:v>0.3388888888888883</c:v>
                </c:pt>
                <c:pt idx="249">
                  <c:v>0.33958333333333274</c:v>
                </c:pt>
                <c:pt idx="250">
                  <c:v>0.34027777777777718</c:v>
                </c:pt>
                <c:pt idx="251">
                  <c:v>0.34097222222222162</c:v>
                </c:pt>
                <c:pt idx="252">
                  <c:v>0.34166666666666606</c:v>
                </c:pt>
                <c:pt idx="253">
                  <c:v>0.34236111111111051</c:v>
                </c:pt>
                <c:pt idx="254">
                  <c:v>0.34305555555555495</c:v>
                </c:pt>
                <c:pt idx="255">
                  <c:v>0.34374999999999939</c:v>
                </c:pt>
                <c:pt idx="256">
                  <c:v>0.34444444444444383</c:v>
                </c:pt>
                <c:pt idx="257">
                  <c:v>0.34513888888888827</c:v>
                </c:pt>
                <c:pt idx="258">
                  <c:v>0.34583333333333272</c:v>
                </c:pt>
                <c:pt idx="259">
                  <c:v>0.34652777777777716</c:v>
                </c:pt>
                <c:pt idx="260">
                  <c:v>0.3472222222222216</c:v>
                </c:pt>
                <c:pt idx="261">
                  <c:v>0.34791666666666604</c:v>
                </c:pt>
                <c:pt idx="262">
                  <c:v>0.34861111111111048</c:v>
                </c:pt>
                <c:pt idx="263">
                  <c:v>0.34930555555555493</c:v>
                </c:pt>
                <c:pt idx="264">
                  <c:v>0.34999999999999937</c:v>
                </c:pt>
                <c:pt idx="265">
                  <c:v>0.35069444444444381</c:v>
                </c:pt>
                <c:pt idx="266">
                  <c:v>0.35138888888888825</c:v>
                </c:pt>
                <c:pt idx="267">
                  <c:v>0.35208333333333269</c:v>
                </c:pt>
                <c:pt idx="268">
                  <c:v>0.35277777777777714</c:v>
                </c:pt>
                <c:pt idx="269">
                  <c:v>0.35347222222222158</c:v>
                </c:pt>
                <c:pt idx="270">
                  <c:v>0.35416666666666602</c:v>
                </c:pt>
                <c:pt idx="271">
                  <c:v>0.35486111111111046</c:v>
                </c:pt>
                <c:pt idx="272">
                  <c:v>0.3555555555555549</c:v>
                </c:pt>
                <c:pt idx="273">
                  <c:v>0.35624999999999934</c:v>
                </c:pt>
                <c:pt idx="274">
                  <c:v>0.35694444444444379</c:v>
                </c:pt>
                <c:pt idx="275">
                  <c:v>0.35763888888888823</c:v>
                </c:pt>
                <c:pt idx="276">
                  <c:v>0.35833333333333267</c:v>
                </c:pt>
                <c:pt idx="277">
                  <c:v>0.35902777777777711</c:v>
                </c:pt>
                <c:pt idx="278">
                  <c:v>0.35972222222222155</c:v>
                </c:pt>
                <c:pt idx="279">
                  <c:v>0.360416666666666</c:v>
                </c:pt>
                <c:pt idx="280">
                  <c:v>0.36111111111111044</c:v>
                </c:pt>
                <c:pt idx="281">
                  <c:v>0.36180555555555488</c:v>
                </c:pt>
                <c:pt idx="282">
                  <c:v>0.36249999999999932</c:v>
                </c:pt>
                <c:pt idx="283">
                  <c:v>0.36319444444444376</c:v>
                </c:pt>
                <c:pt idx="284">
                  <c:v>0.36388888888888821</c:v>
                </c:pt>
                <c:pt idx="285">
                  <c:v>0.36458333333333265</c:v>
                </c:pt>
                <c:pt idx="286">
                  <c:v>0.36527777777777709</c:v>
                </c:pt>
                <c:pt idx="287">
                  <c:v>0.36597222222222153</c:v>
                </c:pt>
                <c:pt idx="288">
                  <c:v>0.36666666666666597</c:v>
                </c:pt>
                <c:pt idx="289">
                  <c:v>0.36736111111111042</c:v>
                </c:pt>
                <c:pt idx="290">
                  <c:v>0.36805555555555486</c:v>
                </c:pt>
                <c:pt idx="291">
                  <c:v>0.3687499999999993</c:v>
                </c:pt>
                <c:pt idx="292">
                  <c:v>0.36944444444444374</c:v>
                </c:pt>
                <c:pt idx="293">
                  <c:v>0.37013888888888818</c:v>
                </c:pt>
                <c:pt idx="294">
                  <c:v>0.37083333333333263</c:v>
                </c:pt>
                <c:pt idx="295">
                  <c:v>0.37152777777777707</c:v>
                </c:pt>
                <c:pt idx="296">
                  <c:v>0.37222222222222151</c:v>
                </c:pt>
                <c:pt idx="297">
                  <c:v>0.37291666666666595</c:v>
                </c:pt>
                <c:pt idx="298">
                  <c:v>0.37361111111111039</c:v>
                </c:pt>
                <c:pt idx="299">
                  <c:v>0.37430555555555484</c:v>
                </c:pt>
                <c:pt idx="300">
                  <c:v>0.37499999999999928</c:v>
                </c:pt>
                <c:pt idx="301">
                  <c:v>0.37569444444444372</c:v>
                </c:pt>
                <c:pt idx="302">
                  <c:v>0.37638888888888816</c:v>
                </c:pt>
                <c:pt idx="303">
                  <c:v>0.3770833333333326</c:v>
                </c:pt>
                <c:pt idx="304">
                  <c:v>0.37777777777777705</c:v>
                </c:pt>
                <c:pt idx="305">
                  <c:v>0.37847222222222149</c:v>
                </c:pt>
                <c:pt idx="306">
                  <c:v>0.37916666666666593</c:v>
                </c:pt>
                <c:pt idx="307">
                  <c:v>0.37986111111111037</c:v>
                </c:pt>
                <c:pt idx="308">
                  <c:v>0.38055555555555481</c:v>
                </c:pt>
                <c:pt idx="309">
                  <c:v>0.38124999999999926</c:v>
                </c:pt>
                <c:pt idx="310">
                  <c:v>0.3819444444444437</c:v>
                </c:pt>
                <c:pt idx="311">
                  <c:v>0.38263888888888814</c:v>
                </c:pt>
                <c:pt idx="312">
                  <c:v>0.38333333333333258</c:v>
                </c:pt>
                <c:pt idx="313">
                  <c:v>0.38402777777777702</c:v>
                </c:pt>
                <c:pt idx="314">
                  <c:v>0.38472222222222147</c:v>
                </c:pt>
                <c:pt idx="315">
                  <c:v>0.38541666666666591</c:v>
                </c:pt>
                <c:pt idx="316">
                  <c:v>0.38611111111111035</c:v>
                </c:pt>
                <c:pt idx="317">
                  <c:v>0.38680555555555479</c:v>
                </c:pt>
                <c:pt idx="318">
                  <c:v>0.38749999999999923</c:v>
                </c:pt>
                <c:pt idx="319">
                  <c:v>0.38819444444444368</c:v>
                </c:pt>
                <c:pt idx="320">
                  <c:v>0.38888888888888812</c:v>
                </c:pt>
                <c:pt idx="321">
                  <c:v>0.38958333333333256</c:v>
                </c:pt>
                <c:pt idx="322">
                  <c:v>0.390277777777777</c:v>
                </c:pt>
                <c:pt idx="323">
                  <c:v>0.39097222222222144</c:v>
                </c:pt>
                <c:pt idx="324">
                  <c:v>0.39166666666666589</c:v>
                </c:pt>
                <c:pt idx="325">
                  <c:v>0.39236111111111033</c:v>
                </c:pt>
                <c:pt idx="326">
                  <c:v>0.39305555555555477</c:v>
                </c:pt>
                <c:pt idx="327">
                  <c:v>0.39374999999999921</c:v>
                </c:pt>
                <c:pt idx="328">
                  <c:v>0.39444444444444365</c:v>
                </c:pt>
                <c:pt idx="329">
                  <c:v>0.3951388888888881</c:v>
                </c:pt>
                <c:pt idx="330">
                  <c:v>0.39583333333333254</c:v>
                </c:pt>
                <c:pt idx="331">
                  <c:v>0.39652777777777698</c:v>
                </c:pt>
                <c:pt idx="332">
                  <c:v>0.39722222222222142</c:v>
                </c:pt>
                <c:pt idx="333">
                  <c:v>0.39791666666666586</c:v>
                </c:pt>
                <c:pt idx="334">
                  <c:v>0.39861111111111031</c:v>
                </c:pt>
                <c:pt idx="335">
                  <c:v>0.39930555555555475</c:v>
                </c:pt>
                <c:pt idx="336">
                  <c:v>0.39999999999999919</c:v>
                </c:pt>
                <c:pt idx="337">
                  <c:v>0.40069444444444363</c:v>
                </c:pt>
                <c:pt idx="338">
                  <c:v>0.40138888888888807</c:v>
                </c:pt>
                <c:pt idx="339">
                  <c:v>0.40208333333333252</c:v>
                </c:pt>
                <c:pt idx="340">
                  <c:v>0.40277777777777696</c:v>
                </c:pt>
                <c:pt idx="341">
                  <c:v>0.4034722222222214</c:v>
                </c:pt>
                <c:pt idx="342">
                  <c:v>0.40416666666666584</c:v>
                </c:pt>
                <c:pt idx="343">
                  <c:v>0.40486111111111028</c:v>
                </c:pt>
                <c:pt idx="344">
                  <c:v>0.40555555555555473</c:v>
                </c:pt>
                <c:pt idx="345">
                  <c:v>0.40624999999999917</c:v>
                </c:pt>
                <c:pt idx="346">
                  <c:v>0.40694444444444361</c:v>
                </c:pt>
                <c:pt idx="347">
                  <c:v>0.40763888888888805</c:v>
                </c:pt>
                <c:pt idx="348">
                  <c:v>0.40833333333333249</c:v>
                </c:pt>
                <c:pt idx="349">
                  <c:v>0.40902777777777694</c:v>
                </c:pt>
                <c:pt idx="350">
                  <c:v>0.40972222222222138</c:v>
                </c:pt>
                <c:pt idx="351">
                  <c:v>0.41041666666666582</c:v>
                </c:pt>
                <c:pt idx="352">
                  <c:v>0.41111111111111026</c:v>
                </c:pt>
                <c:pt idx="353">
                  <c:v>0.4118055555555547</c:v>
                </c:pt>
                <c:pt idx="354">
                  <c:v>0.41249999999999915</c:v>
                </c:pt>
                <c:pt idx="355">
                  <c:v>0.41319444444444359</c:v>
                </c:pt>
                <c:pt idx="356">
                  <c:v>0.41388888888888803</c:v>
                </c:pt>
                <c:pt idx="357">
                  <c:v>0.41458333333333247</c:v>
                </c:pt>
                <c:pt idx="358">
                  <c:v>0.41527777777777691</c:v>
                </c:pt>
                <c:pt idx="359">
                  <c:v>0.41597222222222136</c:v>
                </c:pt>
                <c:pt idx="360">
                  <c:v>0.4166666666666658</c:v>
                </c:pt>
                <c:pt idx="361">
                  <c:v>0.41736111111111024</c:v>
                </c:pt>
                <c:pt idx="362">
                  <c:v>0.41805555555555468</c:v>
                </c:pt>
                <c:pt idx="363">
                  <c:v>0.41874999999999912</c:v>
                </c:pt>
                <c:pt idx="364">
                  <c:v>0.41944444444444356</c:v>
                </c:pt>
                <c:pt idx="365">
                  <c:v>0.42013888888888801</c:v>
                </c:pt>
                <c:pt idx="366">
                  <c:v>0.42083333333333245</c:v>
                </c:pt>
                <c:pt idx="367">
                  <c:v>0.42152777777777689</c:v>
                </c:pt>
                <c:pt idx="368">
                  <c:v>0.42222222222222133</c:v>
                </c:pt>
                <c:pt idx="369">
                  <c:v>0.42291666666666577</c:v>
                </c:pt>
                <c:pt idx="370">
                  <c:v>0.42361111111111022</c:v>
                </c:pt>
                <c:pt idx="371">
                  <c:v>0.42430555555555466</c:v>
                </c:pt>
                <c:pt idx="372">
                  <c:v>0.4249999999999991</c:v>
                </c:pt>
                <c:pt idx="373">
                  <c:v>0.42569444444444354</c:v>
                </c:pt>
                <c:pt idx="374">
                  <c:v>0.42638888888888798</c:v>
                </c:pt>
                <c:pt idx="375">
                  <c:v>0.42708333333333243</c:v>
                </c:pt>
                <c:pt idx="376">
                  <c:v>0.42777777777777687</c:v>
                </c:pt>
                <c:pt idx="377">
                  <c:v>0.42847222222222131</c:v>
                </c:pt>
                <c:pt idx="378">
                  <c:v>0.42916666666666575</c:v>
                </c:pt>
                <c:pt idx="379">
                  <c:v>0.42986111111111019</c:v>
                </c:pt>
                <c:pt idx="380">
                  <c:v>0.43055555555555464</c:v>
                </c:pt>
                <c:pt idx="381">
                  <c:v>0.43124999999999908</c:v>
                </c:pt>
                <c:pt idx="382">
                  <c:v>0.43194444444444352</c:v>
                </c:pt>
                <c:pt idx="383">
                  <c:v>0.43263888888888796</c:v>
                </c:pt>
                <c:pt idx="384">
                  <c:v>0.4333333333333324</c:v>
                </c:pt>
                <c:pt idx="385">
                  <c:v>0.43402777777777685</c:v>
                </c:pt>
                <c:pt idx="386">
                  <c:v>0.43472222222222129</c:v>
                </c:pt>
                <c:pt idx="387">
                  <c:v>0.43541666666666573</c:v>
                </c:pt>
                <c:pt idx="388">
                  <c:v>0.43611111111111017</c:v>
                </c:pt>
                <c:pt idx="389">
                  <c:v>0.43680555555555461</c:v>
                </c:pt>
                <c:pt idx="390">
                  <c:v>0.43749999999999906</c:v>
                </c:pt>
                <c:pt idx="391">
                  <c:v>0.4381944444444435</c:v>
                </c:pt>
                <c:pt idx="392">
                  <c:v>0.43888888888888794</c:v>
                </c:pt>
                <c:pt idx="393">
                  <c:v>0.43958333333333238</c:v>
                </c:pt>
                <c:pt idx="394">
                  <c:v>0.44027777777777682</c:v>
                </c:pt>
                <c:pt idx="395">
                  <c:v>0.44097222222222127</c:v>
                </c:pt>
                <c:pt idx="396">
                  <c:v>0.44166666666666571</c:v>
                </c:pt>
                <c:pt idx="397">
                  <c:v>0.44236111111111015</c:v>
                </c:pt>
                <c:pt idx="398">
                  <c:v>0.44305555555555459</c:v>
                </c:pt>
                <c:pt idx="399">
                  <c:v>0.44374999999999903</c:v>
                </c:pt>
                <c:pt idx="400">
                  <c:v>0.44444444444444348</c:v>
                </c:pt>
                <c:pt idx="401">
                  <c:v>0.44513888888888792</c:v>
                </c:pt>
                <c:pt idx="402">
                  <c:v>0.44583333333333236</c:v>
                </c:pt>
                <c:pt idx="403">
                  <c:v>0.4465277777777768</c:v>
                </c:pt>
                <c:pt idx="404">
                  <c:v>0.44722222222222124</c:v>
                </c:pt>
                <c:pt idx="405">
                  <c:v>0.44791666666666569</c:v>
                </c:pt>
                <c:pt idx="406">
                  <c:v>0.44861111111111013</c:v>
                </c:pt>
                <c:pt idx="407">
                  <c:v>0.44930555555555457</c:v>
                </c:pt>
                <c:pt idx="408">
                  <c:v>0.44999999999999901</c:v>
                </c:pt>
                <c:pt idx="409">
                  <c:v>0.45069444444444345</c:v>
                </c:pt>
                <c:pt idx="410">
                  <c:v>0.4513888888888879</c:v>
                </c:pt>
                <c:pt idx="411">
                  <c:v>0.45208333333333234</c:v>
                </c:pt>
                <c:pt idx="412">
                  <c:v>0.45277777777777678</c:v>
                </c:pt>
                <c:pt idx="413">
                  <c:v>0.45347222222222122</c:v>
                </c:pt>
                <c:pt idx="414">
                  <c:v>0.45416666666666566</c:v>
                </c:pt>
                <c:pt idx="415">
                  <c:v>0.45486111111111011</c:v>
                </c:pt>
                <c:pt idx="416">
                  <c:v>0.45555555555555455</c:v>
                </c:pt>
                <c:pt idx="417">
                  <c:v>0.45624999999999899</c:v>
                </c:pt>
                <c:pt idx="418">
                  <c:v>0.45694444444444343</c:v>
                </c:pt>
                <c:pt idx="419">
                  <c:v>0.45763888888888787</c:v>
                </c:pt>
                <c:pt idx="420">
                  <c:v>0.45833333333333232</c:v>
                </c:pt>
                <c:pt idx="421">
                  <c:v>0.45902777777777676</c:v>
                </c:pt>
                <c:pt idx="422">
                  <c:v>0.4597222222222212</c:v>
                </c:pt>
                <c:pt idx="423">
                  <c:v>0.46041666666666564</c:v>
                </c:pt>
                <c:pt idx="424">
                  <c:v>0.46111111111111008</c:v>
                </c:pt>
                <c:pt idx="425">
                  <c:v>0.46180555555555453</c:v>
                </c:pt>
                <c:pt idx="426">
                  <c:v>0.46249999999999897</c:v>
                </c:pt>
                <c:pt idx="427">
                  <c:v>0.46319444444444341</c:v>
                </c:pt>
                <c:pt idx="428">
                  <c:v>0.46388888888888785</c:v>
                </c:pt>
                <c:pt idx="429">
                  <c:v>0.46458333333333229</c:v>
                </c:pt>
                <c:pt idx="430">
                  <c:v>0.46527777777777674</c:v>
                </c:pt>
                <c:pt idx="431">
                  <c:v>0.46597222222222118</c:v>
                </c:pt>
                <c:pt idx="432">
                  <c:v>0.46666666666666562</c:v>
                </c:pt>
                <c:pt idx="433">
                  <c:v>0.46736111111111006</c:v>
                </c:pt>
                <c:pt idx="434">
                  <c:v>0.4680555555555545</c:v>
                </c:pt>
                <c:pt idx="435">
                  <c:v>0.46874999999999895</c:v>
                </c:pt>
                <c:pt idx="436">
                  <c:v>0.46944444444444339</c:v>
                </c:pt>
                <c:pt idx="437">
                  <c:v>0.47013888888888783</c:v>
                </c:pt>
                <c:pt idx="438">
                  <c:v>0.47083333333333227</c:v>
                </c:pt>
                <c:pt idx="439">
                  <c:v>0.47152777777777671</c:v>
                </c:pt>
                <c:pt idx="440">
                  <c:v>0.47222222222222116</c:v>
                </c:pt>
                <c:pt idx="441">
                  <c:v>0.4729166666666656</c:v>
                </c:pt>
                <c:pt idx="442">
                  <c:v>0.47361111111111004</c:v>
                </c:pt>
                <c:pt idx="443">
                  <c:v>0.47430555555555448</c:v>
                </c:pt>
                <c:pt idx="444">
                  <c:v>0.47499999999999892</c:v>
                </c:pt>
                <c:pt idx="445">
                  <c:v>0.47569444444444337</c:v>
                </c:pt>
                <c:pt idx="446">
                  <c:v>0.47638888888888781</c:v>
                </c:pt>
                <c:pt idx="447">
                  <c:v>0.47708333333333225</c:v>
                </c:pt>
                <c:pt idx="448">
                  <c:v>0.47777777777777669</c:v>
                </c:pt>
                <c:pt idx="449">
                  <c:v>0.47847222222222113</c:v>
                </c:pt>
                <c:pt idx="450">
                  <c:v>0.47916666666666557</c:v>
                </c:pt>
                <c:pt idx="451">
                  <c:v>0.47986111111111002</c:v>
                </c:pt>
                <c:pt idx="452">
                  <c:v>0.48055555555555446</c:v>
                </c:pt>
                <c:pt idx="453">
                  <c:v>0.4812499999999989</c:v>
                </c:pt>
                <c:pt idx="454">
                  <c:v>0.48194444444444334</c:v>
                </c:pt>
                <c:pt idx="455">
                  <c:v>0.48263888888888778</c:v>
                </c:pt>
                <c:pt idx="456">
                  <c:v>0.48333333333333223</c:v>
                </c:pt>
                <c:pt idx="457">
                  <c:v>0.48402777777777667</c:v>
                </c:pt>
                <c:pt idx="458">
                  <c:v>0.48472222222222111</c:v>
                </c:pt>
                <c:pt idx="459">
                  <c:v>0.48541666666666555</c:v>
                </c:pt>
                <c:pt idx="460">
                  <c:v>0.48611111111110999</c:v>
                </c:pt>
                <c:pt idx="461">
                  <c:v>0.48680555555555444</c:v>
                </c:pt>
                <c:pt idx="462">
                  <c:v>0.48749999999999888</c:v>
                </c:pt>
                <c:pt idx="463">
                  <c:v>0.48819444444444332</c:v>
                </c:pt>
                <c:pt idx="464">
                  <c:v>0.48888888888888776</c:v>
                </c:pt>
                <c:pt idx="465">
                  <c:v>0.4895833333333322</c:v>
                </c:pt>
                <c:pt idx="466">
                  <c:v>0.49027777777777665</c:v>
                </c:pt>
                <c:pt idx="467">
                  <c:v>0.49097222222222109</c:v>
                </c:pt>
                <c:pt idx="468">
                  <c:v>0.49166666666666553</c:v>
                </c:pt>
                <c:pt idx="469">
                  <c:v>0.49236111111110997</c:v>
                </c:pt>
                <c:pt idx="470">
                  <c:v>0.49305555555555441</c:v>
                </c:pt>
                <c:pt idx="471">
                  <c:v>0.49374999999999886</c:v>
                </c:pt>
                <c:pt idx="472">
                  <c:v>0.4944444444444433</c:v>
                </c:pt>
                <c:pt idx="473">
                  <c:v>0.49513888888888774</c:v>
                </c:pt>
                <c:pt idx="474">
                  <c:v>0.49583333333333218</c:v>
                </c:pt>
                <c:pt idx="475">
                  <c:v>0.49652777777777662</c:v>
                </c:pt>
                <c:pt idx="476">
                  <c:v>0.49722222222222107</c:v>
                </c:pt>
                <c:pt idx="477">
                  <c:v>0.49791666666666551</c:v>
                </c:pt>
                <c:pt idx="478">
                  <c:v>0.49861111111110995</c:v>
                </c:pt>
                <c:pt idx="479">
                  <c:v>0.49930555555555439</c:v>
                </c:pt>
                <c:pt idx="480">
                  <c:v>0.49999999999999883</c:v>
                </c:pt>
                <c:pt idx="481">
                  <c:v>0.50069444444444333</c:v>
                </c:pt>
                <c:pt idx="482">
                  <c:v>0.50138888888888777</c:v>
                </c:pt>
                <c:pt idx="483">
                  <c:v>0.50208333333333222</c:v>
                </c:pt>
                <c:pt idx="484">
                  <c:v>0.50277777777777666</c:v>
                </c:pt>
                <c:pt idx="485">
                  <c:v>0.5034722222222211</c:v>
                </c:pt>
                <c:pt idx="486">
                  <c:v>0.50416666666666554</c:v>
                </c:pt>
                <c:pt idx="487">
                  <c:v>0.50486111111110998</c:v>
                </c:pt>
                <c:pt idx="488">
                  <c:v>0.50555555555555443</c:v>
                </c:pt>
                <c:pt idx="489">
                  <c:v>0.50624999999999887</c:v>
                </c:pt>
                <c:pt idx="490">
                  <c:v>0.50694444444444331</c:v>
                </c:pt>
                <c:pt idx="491">
                  <c:v>0.50763888888888775</c:v>
                </c:pt>
                <c:pt idx="492">
                  <c:v>0.50833333333333219</c:v>
                </c:pt>
                <c:pt idx="493">
                  <c:v>0.50902777777777664</c:v>
                </c:pt>
                <c:pt idx="494">
                  <c:v>0.50972222222222108</c:v>
                </c:pt>
                <c:pt idx="495">
                  <c:v>0.51041666666666552</c:v>
                </c:pt>
                <c:pt idx="496">
                  <c:v>0.51111111111110996</c:v>
                </c:pt>
                <c:pt idx="497">
                  <c:v>0.5118055555555544</c:v>
                </c:pt>
                <c:pt idx="498">
                  <c:v>0.51249999999999885</c:v>
                </c:pt>
                <c:pt idx="499">
                  <c:v>0.51319444444444329</c:v>
                </c:pt>
                <c:pt idx="500">
                  <c:v>0.51388888888888773</c:v>
                </c:pt>
                <c:pt idx="501">
                  <c:v>0.51458333333333217</c:v>
                </c:pt>
                <c:pt idx="502">
                  <c:v>0.51527777777777661</c:v>
                </c:pt>
                <c:pt idx="503">
                  <c:v>0.51597222222222106</c:v>
                </c:pt>
                <c:pt idx="504">
                  <c:v>0.5166666666666655</c:v>
                </c:pt>
                <c:pt idx="505">
                  <c:v>0.51736111111110994</c:v>
                </c:pt>
                <c:pt idx="506">
                  <c:v>0.51805555555555438</c:v>
                </c:pt>
                <c:pt idx="507">
                  <c:v>0.51874999999999882</c:v>
                </c:pt>
                <c:pt idx="508">
                  <c:v>0.51944444444444327</c:v>
                </c:pt>
                <c:pt idx="509">
                  <c:v>0.52013888888888771</c:v>
                </c:pt>
                <c:pt idx="510">
                  <c:v>0.52083333333333215</c:v>
                </c:pt>
                <c:pt idx="511">
                  <c:v>0.52152777777777659</c:v>
                </c:pt>
                <c:pt idx="512">
                  <c:v>0.52222222222222103</c:v>
                </c:pt>
                <c:pt idx="513">
                  <c:v>0.52291666666666548</c:v>
                </c:pt>
                <c:pt idx="514">
                  <c:v>0.52361111111110992</c:v>
                </c:pt>
                <c:pt idx="515">
                  <c:v>0.52430555555555436</c:v>
                </c:pt>
                <c:pt idx="516">
                  <c:v>0.5249999999999988</c:v>
                </c:pt>
                <c:pt idx="517">
                  <c:v>0.52569444444444324</c:v>
                </c:pt>
                <c:pt idx="518">
                  <c:v>0.52638888888888768</c:v>
                </c:pt>
                <c:pt idx="519">
                  <c:v>0.52708333333333213</c:v>
                </c:pt>
                <c:pt idx="520">
                  <c:v>0.52777777777777657</c:v>
                </c:pt>
                <c:pt idx="521">
                  <c:v>0.52847222222222101</c:v>
                </c:pt>
                <c:pt idx="522">
                  <c:v>0.52916666666666545</c:v>
                </c:pt>
                <c:pt idx="523">
                  <c:v>0.52986111111110989</c:v>
                </c:pt>
                <c:pt idx="524">
                  <c:v>0.53055555555555434</c:v>
                </c:pt>
                <c:pt idx="525">
                  <c:v>0.53124999999999878</c:v>
                </c:pt>
                <c:pt idx="526">
                  <c:v>0.53194444444444322</c:v>
                </c:pt>
                <c:pt idx="527">
                  <c:v>0.53263888888888766</c:v>
                </c:pt>
                <c:pt idx="528">
                  <c:v>0.5333333333333321</c:v>
                </c:pt>
                <c:pt idx="529">
                  <c:v>0.53402777777777655</c:v>
                </c:pt>
                <c:pt idx="530">
                  <c:v>0.53472222222222099</c:v>
                </c:pt>
                <c:pt idx="531">
                  <c:v>0.53541666666666543</c:v>
                </c:pt>
                <c:pt idx="532">
                  <c:v>0.53611111111110987</c:v>
                </c:pt>
                <c:pt idx="533">
                  <c:v>0.53680555555555431</c:v>
                </c:pt>
                <c:pt idx="534">
                  <c:v>0.53749999999999876</c:v>
                </c:pt>
                <c:pt idx="535">
                  <c:v>0.5381944444444432</c:v>
                </c:pt>
                <c:pt idx="536">
                  <c:v>0.53888888888888764</c:v>
                </c:pt>
                <c:pt idx="537">
                  <c:v>0.53958333333333208</c:v>
                </c:pt>
                <c:pt idx="538">
                  <c:v>0.54027777777777652</c:v>
                </c:pt>
                <c:pt idx="539">
                  <c:v>0.54097222222222097</c:v>
                </c:pt>
                <c:pt idx="540">
                  <c:v>0.54166666666666541</c:v>
                </c:pt>
                <c:pt idx="541">
                  <c:v>0.54236111111110985</c:v>
                </c:pt>
                <c:pt idx="542">
                  <c:v>0.54305555555555429</c:v>
                </c:pt>
                <c:pt idx="543">
                  <c:v>0.54374999999999873</c:v>
                </c:pt>
                <c:pt idx="544">
                  <c:v>0.54444444444444318</c:v>
                </c:pt>
                <c:pt idx="545">
                  <c:v>0.54513888888888762</c:v>
                </c:pt>
                <c:pt idx="546">
                  <c:v>0.54583333333333206</c:v>
                </c:pt>
                <c:pt idx="547">
                  <c:v>0.5465277777777765</c:v>
                </c:pt>
                <c:pt idx="548">
                  <c:v>0.54722222222222094</c:v>
                </c:pt>
                <c:pt idx="549">
                  <c:v>0.54791666666666539</c:v>
                </c:pt>
                <c:pt idx="550">
                  <c:v>0.54861111111110983</c:v>
                </c:pt>
                <c:pt idx="551">
                  <c:v>0.54930555555555427</c:v>
                </c:pt>
                <c:pt idx="552">
                  <c:v>0.54999999999999871</c:v>
                </c:pt>
                <c:pt idx="553">
                  <c:v>0.55069444444444315</c:v>
                </c:pt>
                <c:pt idx="554">
                  <c:v>0.5513888888888876</c:v>
                </c:pt>
                <c:pt idx="555">
                  <c:v>0.55208333333333204</c:v>
                </c:pt>
                <c:pt idx="556">
                  <c:v>0.55277777777777648</c:v>
                </c:pt>
                <c:pt idx="557">
                  <c:v>0.55347222222222092</c:v>
                </c:pt>
                <c:pt idx="558">
                  <c:v>0.55416666666666536</c:v>
                </c:pt>
                <c:pt idx="559">
                  <c:v>0.55486111111110981</c:v>
                </c:pt>
                <c:pt idx="560">
                  <c:v>0.55555555555555425</c:v>
                </c:pt>
                <c:pt idx="561">
                  <c:v>0.55624999999999869</c:v>
                </c:pt>
                <c:pt idx="562">
                  <c:v>0.55694444444444313</c:v>
                </c:pt>
                <c:pt idx="563">
                  <c:v>0.55763888888888757</c:v>
                </c:pt>
                <c:pt idx="564">
                  <c:v>0.55833333333333202</c:v>
                </c:pt>
                <c:pt idx="565">
                  <c:v>0.55902777777777646</c:v>
                </c:pt>
                <c:pt idx="566">
                  <c:v>0.5597222222222209</c:v>
                </c:pt>
                <c:pt idx="567">
                  <c:v>0.56041666666666534</c:v>
                </c:pt>
                <c:pt idx="568">
                  <c:v>0.56111111111110978</c:v>
                </c:pt>
                <c:pt idx="569">
                  <c:v>0.56180555555555423</c:v>
                </c:pt>
                <c:pt idx="570">
                  <c:v>0.56249999999999867</c:v>
                </c:pt>
                <c:pt idx="571">
                  <c:v>0.56319444444444311</c:v>
                </c:pt>
                <c:pt idx="572">
                  <c:v>0.56388888888888755</c:v>
                </c:pt>
                <c:pt idx="573">
                  <c:v>0.56458333333333199</c:v>
                </c:pt>
                <c:pt idx="574">
                  <c:v>0.56527777777777644</c:v>
                </c:pt>
                <c:pt idx="575">
                  <c:v>0.56597222222222088</c:v>
                </c:pt>
                <c:pt idx="576">
                  <c:v>0.56666666666666532</c:v>
                </c:pt>
                <c:pt idx="577">
                  <c:v>0.56736111111110976</c:v>
                </c:pt>
                <c:pt idx="578">
                  <c:v>0.5680555555555542</c:v>
                </c:pt>
                <c:pt idx="579">
                  <c:v>0.56874999999999865</c:v>
                </c:pt>
                <c:pt idx="580">
                  <c:v>0.56944444444444309</c:v>
                </c:pt>
                <c:pt idx="581">
                  <c:v>0.57013888888888753</c:v>
                </c:pt>
                <c:pt idx="582">
                  <c:v>0.57083333333333197</c:v>
                </c:pt>
                <c:pt idx="583">
                  <c:v>0.57152777777777641</c:v>
                </c:pt>
                <c:pt idx="584">
                  <c:v>0.57222222222222086</c:v>
                </c:pt>
                <c:pt idx="585">
                  <c:v>0.5729166666666653</c:v>
                </c:pt>
                <c:pt idx="586">
                  <c:v>0.57361111111110974</c:v>
                </c:pt>
                <c:pt idx="587">
                  <c:v>0.57430555555555418</c:v>
                </c:pt>
                <c:pt idx="588">
                  <c:v>0.57499999999999862</c:v>
                </c:pt>
                <c:pt idx="589">
                  <c:v>0.57569444444444307</c:v>
                </c:pt>
                <c:pt idx="590">
                  <c:v>0.57638888888888751</c:v>
                </c:pt>
                <c:pt idx="591">
                  <c:v>0.57708333333333195</c:v>
                </c:pt>
                <c:pt idx="592">
                  <c:v>0.57777777777777639</c:v>
                </c:pt>
                <c:pt idx="593">
                  <c:v>0.57847222222222083</c:v>
                </c:pt>
                <c:pt idx="594">
                  <c:v>0.57916666666666528</c:v>
                </c:pt>
                <c:pt idx="595">
                  <c:v>0.57986111111110972</c:v>
                </c:pt>
                <c:pt idx="596">
                  <c:v>0.58055555555555416</c:v>
                </c:pt>
                <c:pt idx="597">
                  <c:v>0.5812499999999986</c:v>
                </c:pt>
                <c:pt idx="598">
                  <c:v>0.58194444444444304</c:v>
                </c:pt>
                <c:pt idx="599">
                  <c:v>0.58263888888888749</c:v>
                </c:pt>
                <c:pt idx="600">
                  <c:v>0.58333333333333193</c:v>
                </c:pt>
                <c:pt idx="601">
                  <c:v>0.58402777777777637</c:v>
                </c:pt>
                <c:pt idx="602">
                  <c:v>0.58472222222222081</c:v>
                </c:pt>
                <c:pt idx="603">
                  <c:v>0.58541666666666525</c:v>
                </c:pt>
                <c:pt idx="604">
                  <c:v>0.58611111111110969</c:v>
                </c:pt>
                <c:pt idx="605">
                  <c:v>0.58680555555555414</c:v>
                </c:pt>
                <c:pt idx="606">
                  <c:v>0.58749999999999858</c:v>
                </c:pt>
                <c:pt idx="607">
                  <c:v>0.58819444444444302</c:v>
                </c:pt>
                <c:pt idx="608">
                  <c:v>0.58888888888888746</c:v>
                </c:pt>
                <c:pt idx="609">
                  <c:v>0.5895833333333319</c:v>
                </c:pt>
                <c:pt idx="610">
                  <c:v>0.59027777777777635</c:v>
                </c:pt>
                <c:pt idx="611">
                  <c:v>0.59097222222222079</c:v>
                </c:pt>
                <c:pt idx="612">
                  <c:v>0.59166666666666523</c:v>
                </c:pt>
                <c:pt idx="613">
                  <c:v>0.59236111111110967</c:v>
                </c:pt>
                <c:pt idx="614">
                  <c:v>0.59305555555555411</c:v>
                </c:pt>
                <c:pt idx="615">
                  <c:v>0.59374999999999856</c:v>
                </c:pt>
                <c:pt idx="616">
                  <c:v>0.594444444444443</c:v>
                </c:pt>
                <c:pt idx="617">
                  <c:v>0.59513888888888744</c:v>
                </c:pt>
                <c:pt idx="618">
                  <c:v>0.59583333333333188</c:v>
                </c:pt>
                <c:pt idx="619">
                  <c:v>0.59652777777777632</c:v>
                </c:pt>
                <c:pt idx="620">
                  <c:v>0.59722222222222077</c:v>
                </c:pt>
                <c:pt idx="621">
                  <c:v>0.59791666666666521</c:v>
                </c:pt>
                <c:pt idx="622">
                  <c:v>0.59861111111110965</c:v>
                </c:pt>
                <c:pt idx="623">
                  <c:v>0.59930555555555409</c:v>
                </c:pt>
                <c:pt idx="624">
                  <c:v>0.59999999999999853</c:v>
                </c:pt>
                <c:pt idx="625">
                  <c:v>0.60069444444444298</c:v>
                </c:pt>
                <c:pt idx="626">
                  <c:v>0.60138888888888742</c:v>
                </c:pt>
                <c:pt idx="627">
                  <c:v>0.60208333333333186</c:v>
                </c:pt>
                <c:pt idx="628">
                  <c:v>0.6027777777777763</c:v>
                </c:pt>
                <c:pt idx="629">
                  <c:v>0.60347222222222074</c:v>
                </c:pt>
                <c:pt idx="630">
                  <c:v>0.60416666666666519</c:v>
                </c:pt>
                <c:pt idx="631">
                  <c:v>0.60486111111110963</c:v>
                </c:pt>
                <c:pt idx="632">
                  <c:v>0.60555555555555407</c:v>
                </c:pt>
                <c:pt idx="633">
                  <c:v>0.60624999999999851</c:v>
                </c:pt>
                <c:pt idx="634">
                  <c:v>0.60694444444444295</c:v>
                </c:pt>
                <c:pt idx="635">
                  <c:v>0.6076388888888874</c:v>
                </c:pt>
                <c:pt idx="636">
                  <c:v>0.60833333333333184</c:v>
                </c:pt>
                <c:pt idx="637">
                  <c:v>0.60902777777777628</c:v>
                </c:pt>
                <c:pt idx="638">
                  <c:v>0.60972222222222072</c:v>
                </c:pt>
                <c:pt idx="639">
                  <c:v>0.61041666666666516</c:v>
                </c:pt>
                <c:pt idx="640">
                  <c:v>0.61111111111110961</c:v>
                </c:pt>
                <c:pt idx="641">
                  <c:v>0.61180555555555405</c:v>
                </c:pt>
                <c:pt idx="642">
                  <c:v>0.61249999999999849</c:v>
                </c:pt>
                <c:pt idx="643">
                  <c:v>0.61319444444444293</c:v>
                </c:pt>
                <c:pt idx="644">
                  <c:v>0.61388888888888737</c:v>
                </c:pt>
                <c:pt idx="645">
                  <c:v>0.61458333333333182</c:v>
                </c:pt>
                <c:pt idx="646">
                  <c:v>0.61527777777777626</c:v>
                </c:pt>
                <c:pt idx="647">
                  <c:v>0.6159722222222207</c:v>
                </c:pt>
                <c:pt idx="648">
                  <c:v>0.61666666666666514</c:v>
                </c:pt>
                <c:pt idx="649">
                  <c:v>0.61736111111110958</c:v>
                </c:pt>
                <c:pt idx="650">
                  <c:v>0.61805555555555403</c:v>
                </c:pt>
                <c:pt idx="651">
                  <c:v>0.61874999999999847</c:v>
                </c:pt>
                <c:pt idx="652">
                  <c:v>0.61944444444444291</c:v>
                </c:pt>
                <c:pt idx="653">
                  <c:v>0.62013888888888735</c:v>
                </c:pt>
                <c:pt idx="654">
                  <c:v>0.62083333333333179</c:v>
                </c:pt>
                <c:pt idx="655">
                  <c:v>0.62152777777777624</c:v>
                </c:pt>
                <c:pt idx="656">
                  <c:v>0.62222222222222068</c:v>
                </c:pt>
                <c:pt idx="657">
                  <c:v>0.62291666666666512</c:v>
                </c:pt>
                <c:pt idx="658">
                  <c:v>0.62361111111110956</c:v>
                </c:pt>
                <c:pt idx="659">
                  <c:v>0.624305555555554</c:v>
                </c:pt>
                <c:pt idx="660">
                  <c:v>0.62499999999999845</c:v>
                </c:pt>
                <c:pt idx="661">
                  <c:v>0.62569444444444289</c:v>
                </c:pt>
                <c:pt idx="662">
                  <c:v>0.62638888888888733</c:v>
                </c:pt>
                <c:pt idx="663">
                  <c:v>0.62708333333333177</c:v>
                </c:pt>
                <c:pt idx="664">
                  <c:v>0.62777777777777621</c:v>
                </c:pt>
                <c:pt idx="665">
                  <c:v>0.62847222222222066</c:v>
                </c:pt>
                <c:pt idx="666">
                  <c:v>0.6291666666666651</c:v>
                </c:pt>
                <c:pt idx="667">
                  <c:v>0.62986111111110954</c:v>
                </c:pt>
                <c:pt idx="668">
                  <c:v>0.63055555555555398</c:v>
                </c:pt>
                <c:pt idx="669">
                  <c:v>0.63124999999999842</c:v>
                </c:pt>
                <c:pt idx="670">
                  <c:v>0.63194444444444287</c:v>
                </c:pt>
                <c:pt idx="671">
                  <c:v>0.63263888888888731</c:v>
                </c:pt>
                <c:pt idx="672">
                  <c:v>0.63333333333333175</c:v>
                </c:pt>
                <c:pt idx="673">
                  <c:v>0.63402777777777619</c:v>
                </c:pt>
                <c:pt idx="674">
                  <c:v>0.63472222222222063</c:v>
                </c:pt>
                <c:pt idx="675">
                  <c:v>0.63541666666666508</c:v>
                </c:pt>
                <c:pt idx="676">
                  <c:v>0.63611111111110952</c:v>
                </c:pt>
                <c:pt idx="677">
                  <c:v>0.63680555555555396</c:v>
                </c:pt>
                <c:pt idx="678">
                  <c:v>0.6374999999999984</c:v>
                </c:pt>
                <c:pt idx="679">
                  <c:v>0.63819444444444284</c:v>
                </c:pt>
                <c:pt idx="680">
                  <c:v>0.63888888888888729</c:v>
                </c:pt>
                <c:pt idx="681">
                  <c:v>0.63958333333333173</c:v>
                </c:pt>
                <c:pt idx="682">
                  <c:v>0.64027777777777617</c:v>
                </c:pt>
                <c:pt idx="683">
                  <c:v>0.64097222222222061</c:v>
                </c:pt>
                <c:pt idx="684">
                  <c:v>0.64166666666666505</c:v>
                </c:pt>
                <c:pt idx="685">
                  <c:v>0.6423611111111095</c:v>
                </c:pt>
                <c:pt idx="686">
                  <c:v>0.64305555555555394</c:v>
                </c:pt>
                <c:pt idx="687">
                  <c:v>0.64374999999999838</c:v>
                </c:pt>
                <c:pt idx="688">
                  <c:v>0.64444444444444282</c:v>
                </c:pt>
                <c:pt idx="689">
                  <c:v>0.64513888888888726</c:v>
                </c:pt>
                <c:pt idx="690">
                  <c:v>0.64583333333333171</c:v>
                </c:pt>
                <c:pt idx="691">
                  <c:v>0.64652777777777615</c:v>
                </c:pt>
                <c:pt idx="692">
                  <c:v>0.64722222222222059</c:v>
                </c:pt>
                <c:pt idx="693">
                  <c:v>0.64791666666666503</c:v>
                </c:pt>
                <c:pt idx="694">
                  <c:v>0.64861111111110947</c:v>
                </c:pt>
                <c:pt idx="695">
                  <c:v>0.64930555555555391</c:v>
                </c:pt>
                <c:pt idx="696">
                  <c:v>0.64999999999999836</c:v>
                </c:pt>
                <c:pt idx="697">
                  <c:v>0.6506944444444428</c:v>
                </c:pt>
                <c:pt idx="698">
                  <c:v>0.65138888888888724</c:v>
                </c:pt>
                <c:pt idx="699">
                  <c:v>0.65208333333333168</c:v>
                </c:pt>
                <c:pt idx="700">
                  <c:v>0.65277777777777612</c:v>
                </c:pt>
                <c:pt idx="701">
                  <c:v>0.65347222222222057</c:v>
                </c:pt>
                <c:pt idx="702">
                  <c:v>0.65416666666666501</c:v>
                </c:pt>
                <c:pt idx="703">
                  <c:v>0.65486111111110945</c:v>
                </c:pt>
                <c:pt idx="704">
                  <c:v>0.65555555555555389</c:v>
                </c:pt>
                <c:pt idx="705">
                  <c:v>0.65624999999999833</c:v>
                </c:pt>
                <c:pt idx="706">
                  <c:v>0.65694444444444278</c:v>
                </c:pt>
                <c:pt idx="707">
                  <c:v>0.65763888888888722</c:v>
                </c:pt>
                <c:pt idx="708">
                  <c:v>0.65833333333333166</c:v>
                </c:pt>
                <c:pt idx="709">
                  <c:v>0.6590277777777761</c:v>
                </c:pt>
                <c:pt idx="710">
                  <c:v>0.65972222222222054</c:v>
                </c:pt>
                <c:pt idx="711">
                  <c:v>0.66041666666666499</c:v>
                </c:pt>
                <c:pt idx="712">
                  <c:v>0.66111111111110943</c:v>
                </c:pt>
                <c:pt idx="713">
                  <c:v>0.66180555555555387</c:v>
                </c:pt>
                <c:pt idx="714">
                  <c:v>0.66249999999999831</c:v>
                </c:pt>
                <c:pt idx="715">
                  <c:v>0.66319444444444275</c:v>
                </c:pt>
                <c:pt idx="716">
                  <c:v>0.6638888888888872</c:v>
                </c:pt>
                <c:pt idx="717">
                  <c:v>0.66458333333333164</c:v>
                </c:pt>
                <c:pt idx="718">
                  <c:v>0.66527777777777608</c:v>
                </c:pt>
                <c:pt idx="719">
                  <c:v>0.66597222222222052</c:v>
                </c:pt>
                <c:pt idx="720">
                  <c:v>0.66666666666666496</c:v>
                </c:pt>
                <c:pt idx="721">
                  <c:v>0.66736111111110941</c:v>
                </c:pt>
                <c:pt idx="722">
                  <c:v>0.66805555555555385</c:v>
                </c:pt>
                <c:pt idx="723">
                  <c:v>0.66874999999999829</c:v>
                </c:pt>
                <c:pt idx="724">
                  <c:v>0.66944444444444273</c:v>
                </c:pt>
                <c:pt idx="725">
                  <c:v>0.67013888888888717</c:v>
                </c:pt>
                <c:pt idx="726">
                  <c:v>0.67083333333333162</c:v>
                </c:pt>
                <c:pt idx="727">
                  <c:v>0.67152777777777606</c:v>
                </c:pt>
                <c:pt idx="728">
                  <c:v>0.6722222222222205</c:v>
                </c:pt>
                <c:pt idx="729">
                  <c:v>0.67291666666666494</c:v>
                </c:pt>
                <c:pt idx="730">
                  <c:v>0.67361111111110938</c:v>
                </c:pt>
                <c:pt idx="731">
                  <c:v>0.67430555555555383</c:v>
                </c:pt>
                <c:pt idx="732">
                  <c:v>0.67499999999999827</c:v>
                </c:pt>
                <c:pt idx="733">
                  <c:v>0.67569444444444271</c:v>
                </c:pt>
                <c:pt idx="734">
                  <c:v>0.67638888888888715</c:v>
                </c:pt>
                <c:pt idx="735">
                  <c:v>0.67708333333333159</c:v>
                </c:pt>
                <c:pt idx="736">
                  <c:v>0.67777777777777604</c:v>
                </c:pt>
                <c:pt idx="737">
                  <c:v>0.67847222222222048</c:v>
                </c:pt>
                <c:pt idx="738">
                  <c:v>0.67916666666666492</c:v>
                </c:pt>
                <c:pt idx="739">
                  <c:v>0.67986111111110936</c:v>
                </c:pt>
                <c:pt idx="740">
                  <c:v>0.6805555555555538</c:v>
                </c:pt>
                <c:pt idx="741">
                  <c:v>0.68124999999999825</c:v>
                </c:pt>
                <c:pt idx="742">
                  <c:v>0.68194444444444269</c:v>
                </c:pt>
                <c:pt idx="743">
                  <c:v>0.68263888888888713</c:v>
                </c:pt>
                <c:pt idx="744">
                  <c:v>0.68333333333333157</c:v>
                </c:pt>
                <c:pt idx="745">
                  <c:v>0.68402777777777601</c:v>
                </c:pt>
                <c:pt idx="746">
                  <c:v>0.68472222222222046</c:v>
                </c:pt>
                <c:pt idx="747">
                  <c:v>0.6854166666666649</c:v>
                </c:pt>
                <c:pt idx="748">
                  <c:v>0.68611111111110934</c:v>
                </c:pt>
                <c:pt idx="749">
                  <c:v>0.68680555555555378</c:v>
                </c:pt>
                <c:pt idx="750">
                  <c:v>0.68749999999999822</c:v>
                </c:pt>
                <c:pt idx="751">
                  <c:v>0.68819444444444267</c:v>
                </c:pt>
                <c:pt idx="752">
                  <c:v>0.68888888888888711</c:v>
                </c:pt>
                <c:pt idx="753">
                  <c:v>0.68958333333333155</c:v>
                </c:pt>
                <c:pt idx="754">
                  <c:v>0.69027777777777599</c:v>
                </c:pt>
                <c:pt idx="755">
                  <c:v>0.69097222222222043</c:v>
                </c:pt>
                <c:pt idx="756">
                  <c:v>0.69166666666666488</c:v>
                </c:pt>
                <c:pt idx="757">
                  <c:v>0.69236111111110932</c:v>
                </c:pt>
                <c:pt idx="758">
                  <c:v>0.69305555555555376</c:v>
                </c:pt>
                <c:pt idx="759">
                  <c:v>0.6937499999999982</c:v>
                </c:pt>
                <c:pt idx="760">
                  <c:v>0.69444444444444264</c:v>
                </c:pt>
                <c:pt idx="761">
                  <c:v>0.69513888888888709</c:v>
                </c:pt>
                <c:pt idx="762">
                  <c:v>0.69583333333333153</c:v>
                </c:pt>
                <c:pt idx="763">
                  <c:v>0.69652777777777597</c:v>
                </c:pt>
                <c:pt idx="764">
                  <c:v>0.69722222222222041</c:v>
                </c:pt>
                <c:pt idx="765">
                  <c:v>0.69791666666666485</c:v>
                </c:pt>
                <c:pt idx="766">
                  <c:v>0.6986111111111093</c:v>
                </c:pt>
                <c:pt idx="767">
                  <c:v>0.69930555555555374</c:v>
                </c:pt>
                <c:pt idx="768">
                  <c:v>0.69999999999999818</c:v>
                </c:pt>
                <c:pt idx="769">
                  <c:v>0.70069444444444262</c:v>
                </c:pt>
                <c:pt idx="770">
                  <c:v>0.70138888888888706</c:v>
                </c:pt>
                <c:pt idx="771">
                  <c:v>0.70208333333333151</c:v>
                </c:pt>
                <c:pt idx="772">
                  <c:v>0.70277777777777595</c:v>
                </c:pt>
                <c:pt idx="773">
                  <c:v>0.70347222222222039</c:v>
                </c:pt>
                <c:pt idx="774">
                  <c:v>0.70416666666666483</c:v>
                </c:pt>
                <c:pt idx="775">
                  <c:v>0.70486111111110927</c:v>
                </c:pt>
                <c:pt idx="776">
                  <c:v>0.70555555555555372</c:v>
                </c:pt>
                <c:pt idx="777">
                  <c:v>0.70624999999999816</c:v>
                </c:pt>
                <c:pt idx="778">
                  <c:v>0.7069444444444426</c:v>
                </c:pt>
                <c:pt idx="779">
                  <c:v>0.70763888888888704</c:v>
                </c:pt>
                <c:pt idx="780">
                  <c:v>0.70833333333333148</c:v>
                </c:pt>
                <c:pt idx="781">
                  <c:v>0.70902777777777592</c:v>
                </c:pt>
                <c:pt idx="782">
                  <c:v>0.70972222222222037</c:v>
                </c:pt>
                <c:pt idx="783">
                  <c:v>0.71041666666666481</c:v>
                </c:pt>
                <c:pt idx="784">
                  <c:v>0.71111111111110925</c:v>
                </c:pt>
                <c:pt idx="785">
                  <c:v>0.71180555555555369</c:v>
                </c:pt>
                <c:pt idx="786">
                  <c:v>0.71249999999999813</c:v>
                </c:pt>
                <c:pt idx="787">
                  <c:v>0.71319444444444258</c:v>
                </c:pt>
                <c:pt idx="788">
                  <c:v>0.71388888888888702</c:v>
                </c:pt>
                <c:pt idx="789">
                  <c:v>0.71458333333333146</c:v>
                </c:pt>
                <c:pt idx="790">
                  <c:v>0.7152777777777759</c:v>
                </c:pt>
                <c:pt idx="791">
                  <c:v>0.71597222222222034</c:v>
                </c:pt>
                <c:pt idx="792">
                  <c:v>0.71666666666666479</c:v>
                </c:pt>
                <c:pt idx="793">
                  <c:v>0.71736111111110923</c:v>
                </c:pt>
                <c:pt idx="794">
                  <c:v>0.71805555555555367</c:v>
                </c:pt>
                <c:pt idx="795">
                  <c:v>0.71874999999999811</c:v>
                </c:pt>
                <c:pt idx="796">
                  <c:v>0.71944444444444255</c:v>
                </c:pt>
                <c:pt idx="797">
                  <c:v>0.720138888888887</c:v>
                </c:pt>
                <c:pt idx="798">
                  <c:v>0.72083333333333144</c:v>
                </c:pt>
                <c:pt idx="799">
                  <c:v>0.72152777777777588</c:v>
                </c:pt>
                <c:pt idx="800">
                  <c:v>0.72222222222222032</c:v>
                </c:pt>
                <c:pt idx="801">
                  <c:v>0.72291666666666476</c:v>
                </c:pt>
                <c:pt idx="802">
                  <c:v>0.72361111111110921</c:v>
                </c:pt>
                <c:pt idx="803">
                  <c:v>0.72430555555555365</c:v>
                </c:pt>
                <c:pt idx="804">
                  <c:v>0.72499999999999809</c:v>
                </c:pt>
                <c:pt idx="805">
                  <c:v>0.72569444444444253</c:v>
                </c:pt>
                <c:pt idx="806">
                  <c:v>0.72638888888888697</c:v>
                </c:pt>
                <c:pt idx="807">
                  <c:v>0.72708333333333142</c:v>
                </c:pt>
                <c:pt idx="808">
                  <c:v>0.72777777777777586</c:v>
                </c:pt>
                <c:pt idx="809">
                  <c:v>0.7284722222222203</c:v>
                </c:pt>
                <c:pt idx="810">
                  <c:v>0.72916666666666474</c:v>
                </c:pt>
                <c:pt idx="811">
                  <c:v>0.72986111111110918</c:v>
                </c:pt>
                <c:pt idx="812">
                  <c:v>0.73055555555555363</c:v>
                </c:pt>
                <c:pt idx="813">
                  <c:v>0.73124999999999807</c:v>
                </c:pt>
                <c:pt idx="814">
                  <c:v>0.73194444444444251</c:v>
                </c:pt>
                <c:pt idx="815">
                  <c:v>0.73263888888888695</c:v>
                </c:pt>
                <c:pt idx="816">
                  <c:v>0.73333333333333139</c:v>
                </c:pt>
                <c:pt idx="817">
                  <c:v>0.73402777777777584</c:v>
                </c:pt>
                <c:pt idx="818">
                  <c:v>0.73472222222222028</c:v>
                </c:pt>
                <c:pt idx="819">
                  <c:v>0.73541666666666472</c:v>
                </c:pt>
                <c:pt idx="820">
                  <c:v>0.73611111111110916</c:v>
                </c:pt>
                <c:pt idx="821">
                  <c:v>0.7368055555555536</c:v>
                </c:pt>
                <c:pt idx="822">
                  <c:v>0.73749999999999805</c:v>
                </c:pt>
                <c:pt idx="823">
                  <c:v>0.73819444444444249</c:v>
                </c:pt>
                <c:pt idx="824">
                  <c:v>0.73888888888888693</c:v>
                </c:pt>
                <c:pt idx="825">
                  <c:v>0.73958333333333137</c:v>
                </c:pt>
                <c:pt idx="826">
                  <c:v>0.74027777777777581</c:v>
                </c:pt>
                <c:pt idx="827">
                  <c:v>0.74097222222222026</c:v>
                </c:pt>
                <c:pt idx="828">
                  <c:v>0.7416666666666647</c:v>
                </c:pt>
                <c:pt idx="829">
                  <c:v>0.74236111111110914</c:v>
                </c:pt>
                <c:pt idx="830">
                  <c:v>0.74305555555555358</c:v>
                </c:pt>
                <c:pt idx="831">
                  <c:v>0.74374999999999802</c:v>
                </c:pt>
                <c:pt idx="832">
                  <c:v>0.74444444444444247</c:v>
                </c:pt>
                <c:pt idx="833">
                  <c:v>0.74513888888888691</c:v>
                </c:pt>
                <c:pt idx="834">
                  <c:v>0.74583333333333135</c:v>
                </c:pt>
                <c:pt idx="835">
                  <c:v>0.74652777777777579</c:v>
                </c:pt>
                <c:pt idx="836">
                  <c:v>0.74722222222222023</c:v>
                </c:pt>
                <c:pt idx="837">
                  <c:v>0.74791666666666468</c:v>
                </c:pt>
                <c:pt idx="838">
                  <c:v>0.74861111111110912</c:v>
                </c:pt>
                <c:pt idx="839">
                  <c:v>0.74930555555555356</c:v>
                </c:pt>
                <c:pt idx="840">
                  <c:v>0.749999999999998</c:v>
                </c:pt>
                <c:pt idx="841">
                  <c:v>0.75069444444444244</c:v>
                </c:pt>
                <c:pt idx="842">
                  <c:v>0.75138888888888689</c:v>
                </c:pt>
                <c:pt idx="843">
                  <c:v>0.75208333333333133</c:v>
                </c:pt>
                <c:pt idx="844">
                  <c:v>0.75277777777777577</c:v>
                </c:pt>
                <c:pt idx="845">
                  <c:v>0.75347222222222021</c:v>
                </c:pt>
                <c:pt idx="846">
                  <c:v>0.75416666666666465</c:v>
                </c:pt>
                <c:pt idx="847">
                  <c:v>0.7548611111111091</c:v>
                </c:pt>
                <c:pt idx="848">
                  <c:v>0.75555555555555354</c:v>
                </c:pt>
                <c:pt idx="849">
                  <c:v>0.75624999999999798</c:v>
                </c:pt>
                <c:pt idx="850">
                  <c:v>0.75694444444444242</c:v>
                </c:pt>
                <c:pt idx="851">
                  <c:v>0.75763888888888686</c:v>
                </c:pt>
                <c:pt idx="852">
                  <c:v>0.75833333333333131</c:v>
                </c:pt>
                <c:pt idx="853">
                  <c:v>0.75902777777777575</c:v>
                </c:pt>
                <c:pt idx="854">
                  <c:v>0.75972222222222019</c:v>
                </c:pt>
                <c:pt idx="855">
                  <c:v>0.76041666666666463</c:v>
                </c:pt>
                <c:pt idx="856">
                  <c:v>0.76111111111110907</c:v>
                </c:pt>
                <c:pt idx="857">
                  <c:v>0.76180555555555352</c:v>
                </c:pt>
                <c:pt idx="858">
                  <c:v>0.76249999999999796</c:v>
                </c:pt>
                <c:pt idx="859">
                  <c:v>0.7631944444444424</c:v>
                </c:pt>
                <c:pt idx="860">
                  <c:v>0.76388888888888684</c:v>
                </c:pt>
                <c:pt idx="861">
                  <c:v>0.76458333333333128</c:v>
                </c:pt>
                <c:pt idx="862">
                  <c:v>0.76527777777777573</c:v>
                </c:pt>
                <c:pt idx="863">
                  <c:v>0.76597222222222017</c:v>
                </c:pt>
                <c:pt idx="864">
                  <c:v>0.76666666666666461</c:v>
                </c:pt>
                <c:pt idx="865">
                  <c:v>0.76736111111110905</c:v>
                </c:pt>
                <c:pt idx="866">
                  <c:v>0.76805555555555349</c:v>
                </c:pt>
                <c:pt idx="867">
                  <c:v>0.76874999999999793</c:v>
                </c:pt>
                <c:pt idx="868">
                  <c:v>0.76944444444444238</c:v>
                </c:pt>
                <c:pt idx="869">
                  <c:v>0.77013888888888682</c:v>
                </c:pt>
                <c:pt idx="870">
                  <c:v>0.77083333333333126</c:v>
                </c:pt>
                <c:pt idx="871">
                  <c:v>0.7715277777777757</c:v>
                </c:pt>
                <c:pt idx="872">
                  <c:v>0.77222222222222014</c:v>
                </c:pt>
                <c:pt idx="873">
                  <c:v>0.77291666666666459</c:v>
                </c:pt>
                <c:pt idx="874">
                  <c:v>0.77361111111110903</c:v>
                </c:pt>
                <c:pt idx="875">
                  <c:v>0.77430555555555347</c:v>
                </c:pt>
                <c:pt idx="876">
                  <c:v>0.77499999999999791</c:v>
                </c:pt>
                <c:pt idx="877">
                  <c:v>0.77569444444444235</c:v>
                </c:pt>
                <c:pt idx="878">
                  <c:v>0.7763888888888868</c:v>
                </c:pt>
                <c:pt idx="879">
                  <c:v>0.77708333333333124</c:v>
                </c:pt>
                <c:pt idx="880">
                  <c:v>0.77777777777777568</c:v>
                </c:pt>
                <c:pt idx="881">
                  <c:v>0.77847222222222012</c:v>
                </c:pt>
                <c:pt idx="882">
                  <c:v>0.77916666666666456</c:v>
                </c:pt>
                <c:pt idx="883">
                  <c:v>0.77986111111110901</c:v>
                </c:pt>
                <c:pt idx="884">
                  <c:v>0.78055555555555345</c:v>
                </c:pt>
                <c:pt idx="885">
                  <c:v>0.78124999999999789</c:v>
                </c:pt>
                <c:pt idx="886">
                  <c:v>0.78194444444444233</c:v>
                </c:pt>
                <c:pt idx="887">
                  <c:v>0.78263888888888677</c:v>
                </c:pt>
                <c:pt idx="888">
                  <c:v>0.78333333333333122</c:v>
                </c:pt>
                <c:pt idx="889">
                  <c:v>0.78402777777777566</c:v>
                </c:pt>
                <c:pt idx="890">
                  <c:v>0.7847222222222201</c:v>
                </c:pt>
                <c:pt idx="891">
                  <c:v>0.78541666666666454</c:v>
                </c:pt>
                <c:pt idx="892">
                  <c:v>0.78611111111110898</c:v>
                </c:pt>
                <c:pt idx="893">
                  <c:v>0.78680555555555343</c:v>
                </c:pt>
                <c:pt idx="894">
                  <c:v>0.78749999999999787</c:v>
                </c:pt>
                <c:pt idx="895">
                  <c:v>0.78819444444444231</c:v>
                </c:pt>
                <c:pt idx="896">
                  <c:v>0.78888888888888675</c:v>
                </c:pt>
                <c:pt idx="897">
                  <c:v>0.78958333333333119</c:v>
                </c:pt>
                <c:pt idx="898">
                  <c:v>0.79027777777777564</c:v>
                </c:pt>
                <c:pt idx="899">
                  <c:v>0.79097222222222008</c:v>
                </c:pt>
                <c:pt idx="900">
                  <c:v>0.79166666666666452</c:v>
                </c:pt>
                <c:pt idx="901">
                  <c:v>0.79236111111110896</c:v>
                </c:pt>
                <c:pt idx="902">
                  <c:v>0.7930555555555534</c:v>
                </c:pt>
                <c:pt idx="903">
                  <c:v>0.79374999999999785</c:v>
                </c:pt>
                <c:pt idx="904">
                  <c:v>0.79444444444444229</c:v>
                </c:pt>
                <c:pt idx="905">
                  <c:v>0.79513888888888673</c:v>
                </c:pt>
                <c:pt idx="906">
                  <c:v>0.79583333333333117</c:v>
                </c:pt>
                <c:pt idx="907">
                  <c:v>0.79652777777777561</c:v>
                </c:pt>
                <c:pt idx="908">
                  <c:v>0.79722222222222006</c:v>
                </c:pt>
                <c:pt idx="909">
                  <c:v>0.7979166666666645</c:v>
                </c:pt>
                <c:pt idx="910">
                  <c:v>0.79861111111110894</c:v>
                </c:pt>
                <c:pt idx="911">
                  <c:v>0.79930555555555338</c:v>
                </c:pt>
                <c:pt idx="912">
                  <c:v>0.79999999999999782</c:v>
                </c:pt>
                <c:pt idx="913">
                  <c:v>0.80069444444444227</c:v>
                </c:pt>
                <c:pt idx="914">
                  <c:v>0.80138888888888671</c:v>
                </c:pt>
                <c:pt idx="915">
                  <c:v>0.80208333333333115</c:v>
                </c:pt>
                <c:pt idx="916">
                  <c:v>0.80277777777777559</c:v>
                </c:pt>
                <c:pt idx="917">
                  <c:v>0.80347222222222003</c:v>
                </c:pt>
                <c:pt idx="918">
                  <c:v>0.80416666666666448</c:v>
                </c:pt>
                <c:pt idx="919">
                  <c:v>0.80486111111110892</c:v>
                </c:pt>
                <c:pt idx="920">
                  <c:v>0.80555555555555336</c:v>
                </c:pt>
                <c:pt idx="921">
                  <c:v>0.8062499999999978</c:v>
                </c:pt>
                <c:pt idx="922">
                  <c:v>0.80694444444444224</c:v>
                </c:pt>
                <c:pt idx="923">
                  <c:v>0.80763888888888669</c:v>
                </c:pt>
                <c:pt idx="924">
                  <c:v>0.80833333333333113</c:v>
                </c:pt>
                <c:pt idx="925">
                  <c:v>0.80902777777777557</c:v>
                </c:pt>
                <c:pt idx="926">
                  <c:v>0.80972222222222001</c:v>
                </c:pt>
                <c:pt idx="927">
                  <c:v>0.81041666666666445</c:v>
                </c:pt>
                <c:pt idx="928">
                  <c:v>0.8111111111111089</c:v>
                </c:pt>
                <c:pt idx="929">
                  <c:v>0.81180555555555334</c:v>
                </c:pt>
                <c:pt idx="930">
                  <c:v>0.81249999999999778</c:v>
                </c:pt>
                <c:pt idx="931">
                  <c:v>0.81319444444444222</c:v>
                </c:pt>
                <c:pt idx="932">
                  <c:v>0.81388888888888666</c:v>
                </c:pt>
                <c:pt idx="933">
                  <c:v>0.81458333333333111</c:v>
                </c:pt>
                <c:pt idx="934">
                  <c:v>0.81527777777777555</c:v>
                </c:pt>
                <c:pt idx="935">
                  <c:v>0.81597222222221999</c:v>
                </c:pt>
                <c:pt idx="936">
                  <c:v>0.81666666666666443</c:v>
                </c:pt>
                <c:pt idx="937">
                  <c:v>0.81736111111110887</c:v>
                </c:pt>
                <c:pt idx="938">
                  <c:v>0.81805555555555332</c:v>
                </c:pt>
                <c:pt idx="939">
                  <c:v>0.81874999999999776</c:v>
                </c:pt>
                <c:pt idx="940">
                  <c:v>0.8194444444444422</c:v>
                </c:pt>
                <c:pt idx="941">
                  <c:v>0.82013888888888664</c:v>
                </c:pt>
                <c:pt idx="942">
                  <c:v>0.82083333333333108</c:v>
                </c:pt>
                <c:pt idx="943">
                  <c:v>0.82152777777777553</c:v>
                </c:pt>
                <c:pt idx="944">
                  <c:v>0.82222222222221997</c:v>
                </c:pt>
                <c:pt idx="945">
                  <c:v>0.82291666666666441</c:v>
                </c:pt>
                <c:pt idx="946">
                  <c:v>0.82361111111110885</c:v>
                </c:pt>
                <c:pt idx="947">
                  <c:v>0.82430555555555329</c:v>
                </c:pt>
                <c:pt idx="948">
                  <c:v>0.82499999999999774</c:v>
                </c:pt>
                <c:pt idx="949">
                  <c:v>0.82569444444444218</c:v>
                </c:pt>
                <c:pt idx="950">
                  <c:v>0.82638888888888662</c:v>
                </c:pt>
                <c:pt idx="951">
                  <c:v>0.82708333333333106</c:v>
                </c:pt>
                <c:pt idx="952">
                  <c:v>0.8277777777777755</c:v>
                </c:pt>
                <c:pt idx="953">
                  <c:v>0.82847222222221995</c:v>
                </c:pt>
                <c:pt idx="954">
                  <c:v>0.82916666666666439</c:v>
                </c:pt>
                <c:pt idx="955">
                  <c:v>0.82986111111110883</c:v>
                </c:pt>
                <c:pt idx="956">
                  <c:v>0.83055555555555327</c:v>
                </c:pt>
                <c:pt idx="957">
                  <c:v>0.83124999999999771</c:v>
                </c:pt>
                <c:pt idx="958">
                  <c:v>0.83194444444444215</c:v>
                </c:pt>
                <c:pt idx="959">
                  <c:v>0.8326388888888866</c:v>
                </c:pt>
                <c:pt idx="960">
                  <c:v>0.83333333333333104</c:v>
                </c:pt>
                <c:pt idx="961">
                  <c:v>0.83402777777777548</c:v>
                </c:pt>
                <c:pt idx="962">
                  <c:v>0.83472222222221992</c:v>
                </c:pt>
                <c:pt idx="963">
                  <c:v>0.83541666666666436</c:v>
                </c:pt>
                <c:pt idx="964">
                  <c:v>0.83611111111110881</c:v>
                </c:pt>
                <c:pt idx="965">
                  <c:v>0.83680555555555325</c:v>
                </c:pt>
                <c:pt idx="966">
                  <c:v>0.83749999999999769</c:v>
                </c:pt>
                <c:pt idx="967">
                  <c:v>0.83819444444444213</c:v>
                </c:pt>
                <c:pt idx="968">
                  <c:v>0.83888888888888657</c:v>
                </c:pt>
                <c:pt idx="969">
                  <c:v>0.83958333333333102</c:v>
                </c:pt>
                <c:pt idx="970">
                  <c:v>0.84027777777777546</c:v>
                </c:pt>
                <c:pt idx="971">
                  <c:v>0.8409722222222199</c:v>
                </c:pt>
                <c:pt idx="972">
                  <c:v>0.84166666666666434</c:v>
                </c:pt>
                <c:pt idx="973">
                  <c:v>0.84236111111110878</c:v>
                </c:pt>
                <c:pt idx="974">
                  <c:v>0.84305555555555323</c:v>
                </c:pt>
                <c:pt idx="975">
                  <c:v>0.84374999999999767</c:v>
                </c:pt>
                <c:pt idx="976">
                  <c:v>0.84444444444444211</c:v>
                </c:pt>
                <c:pt idx="977">
                  <c:v>0.84513888888888655</c:v>
                </c:pt>
                <c:pt idx="978">
                  <c:v>0.84583333333333099</c:v>
                </c:pt>
                <c:pt idx="979">
                  <c:v>0.84652777777777544</c:v>
                </c:pt>
                <c:pt idx="980">
                  <c:v>0.84722222222221988</c:v>
                </c:pt>
                <c:pt idx="981">
                  <c:v>0.84791666666666432</c:v>
                </c:pt>
                <c:pt idx="982">
                  <c:v>0.84861111111110876</c:v>
                </c:pt>
                <c:pt idx="983">
                  <c:v>0.8493055555555532</c:v>
                </c:pt>
                <c:pt idx="984">
                  <c:v>0.84999999999999765</c:v>
                </c:pt>
                <c:pt idx="985">
                  <c:v>0.85069444444444209</c:v>
                </c:pt>
                <c:pt idx="986">
                  <c:v>0.85138888888888653</c:v>
                </c:pt>
                <c:pt idx="987">
                  <c:v>0.85208333333333097</c:v>
                </c:pt>
                <c:pt idx="988">
                  <c:v>0.85277777777777541</c:v>
                </c:pt>
                <c:pt idx="989">
                  <c:v>0.85347222222221986</c:v>
                </c:pt>
                <c:pt idx="990">
                  <c:v>0.8541666666666643</c:v>
                </c:pt>
                <c:pt idx="991">
                  <c:v>0.85486111111110874</c:v>
                </c:pt>
                <c:pt idx="992">
                  <c:v>0.85555555555555318</c:v>
                </c:pt>
                <c:pt idx="993">
                  <c:v>0.85624999999999762</c:v>
                </c:pt>
                <c:pt idx="994">
                  <c:v>0.85694444444444207</c:v>
                </c:pt>
                <c:pt idx="995">
                  <c:v>0.85763888888888651</c:v>
                </c:pt>
                <c:pt idx="996">
                  <c:v>0.85833333333333095</c:v>
                </c:pt>
                <c:pt idx="997">
                  <c:v>0.85902777777777539</c:v>
                </c:pt>
                <c:pt idx="998">
                  <c:v>0.85972222222221983</c:v>
                </c:pt>
                <c:pt idx="999">
                  <c:v>0.86041666666666428</c:v>
                </c:pt>
                <c:pt idx="1000">
                  <c:v>0.86111111111110872</c:v>
                </c:pt>
                <c:pt idx="1001">
                  <c:v>0.86180555555555316</c:v>
                </c:pt>
                <c:pt idx="1002">
                  <c:v>0.8624999999999976</c:v>
                </c:pt>
                <c:pt idx="1003">
                  <c:v>0.86319444444444204</c:v>
                </c:pt>
                <c:pt idx="1004">
                  <c:v>0.86388888888888649</c:v>
                </c:pt>
                <c:pt idx="1005">
                  <c:v>0.86458333333333093</c:v>
                </c:pt>
                <c:pt idx="1006">
                  <c:v>0.86527777777777537</c:v>
                </c:pt>
                <c:pt idx="1007">
                  <c:v>0.86597222222221981</c:v>
                </c:pt>
                <c:pt idx="1008">
                  <c:v>0.86666666666666425</c:v>
                </c:pt>
                <c:pt idx="1009">
                  <c:v>0.8673611111111087</c:v>
                </c:pt>
                <c:pt idx="1010">
                  <c:v>0.86805555555555314</c:v>
                </c:pt>
                <c:pt idx="1011">
                  <c:v>0.86874999999999758</c:v>
                </c:pt>
                <c:pt idx="1012">
                  <c:v>0.86944444444444202</c:v>
                </c:pt>
                <c:pt idx="1013">
                  <c:v>0.87013888888888646</c:v>
                </c:pt>
                <c:pt idx="1014">
                  <c:v>0.87083333333333091</c:v>
                </c:pt>
                <c:pt idx="1015">
                  <c:v>0.87152777777777535</c:v>
                </c:pt>
                <c:pt idx="1016">
                  <c:v>0.87222222222221979</c:v>
                </c:pt>
                <c:pt idx="1017">
                  <c:v>0.87291666666666423</c:v>
                </c:pt>
                <c:pt idx="1018">
                  <c:v>0.87361111111110867</c:v>
                </c:pt>
                <c:pt idx="1019">
                  <c:v>0.87430555555555312</c:v>
                </c:pt>
                <c:pt idx="1020">
                  <c:v>0.87499999999999756</c:v>
                </c:pt>
                <c:pt idx="1021">
                  <c:v>0.875694444444442</c:v>
                </c:pt>
                <c:pt idx="1022">
                  <c:v>0.87638888888888644</c:v>
                </c:pt>
                <c:pt idx="1023">
                  <c:v>0.87708333333333088</c:v>
                </c:pt>
                <c:pt idx="1024">
                  <c:v>0.87777777777777533</c:v>
                </c:pt>
                <c:pt idx="1025">
                  <c:v>0.87847222222221977</c:v>
                </c:pt>
                <c:pt idx="1026">
                  <c:v>0.87916666666666421</c:v>
                </c:pt>
                <c:pt idx="1027">
                  <c:v>0.87986111111110865</c:v>
                </c:pt>
                <c:pt idx="1028">
                  <c:v>0.88055555555555309</c:v>
                </c:pt>
                <c:pt idx="1029">
                  <c:v>0.88124999999999754</c:v>
                </c:pt>
                <c:pt idx="1030">
                  <c:v>0.88194444444444198</c:v>
                </c:pt>
                <c:pt idx="1031">
                  <c:v>0.88263888888888642</c:v>
                </c:pt>
                <c:pt idx="1032">
                  <c:v>0.88333333333333086</c:v>
                </c:pt>
                <c:pt idx="1033">
                  <c:v>0.8840277777777753</c:v>
                </c:pt>
                <c:pt idx="1034">
                  <c:v>0.88472222222221975</c:v>
                </c:pt>
                <c:pt idx="1035">
                  <c:v>0.88541666666666419</c:v>
                </c:pt>
                <c:pt idx="1036">
                  <c:v>0.88611111111110863</c:v>
                </c:pt>
                <c:pt idx="1037">
                  <c:v>0.88680555555555307</c:v>
                </c:pt>
                <c:pt idx="1038">
                  <c:v>0.88749999999999751</c:v>
                </c:pt>
                <c:pt idx="1039">
                  <c:v>0.88819444444444196</c:v>
                </c:pt>
                <c:pt idx="1040">
                  <c:v>0.8888888888888864</c:v>
                </c:pt>
                <c:pt idx="1041">
                  <c:v>0.88958333333333084</c:v>
                </c:pt>
                <c:pt idx="1042">
                  <c:v>0.89027777777777528</c:v>
                </c:pt>
                <c:pt idx="1043">
                  <c:v>0.89097222222221972</c:v>
                </c:pt>
                <c:pt idx="1044">
                  <c:v>0.89166666666666416</c:v>
                </c:pt>
                <c:pt idx="1045">
                  <c:v>0.89236111111110861</c:v>
                </c:pt>
                <c:pt idx="1046">
                  <c:v>0.89305555555555305</c:v>
                </c:pt>
                <c:pt idx="1047">
                  <c:v>0.89374999999999749</c:v>
                </c:pt>
                <c:pt idx="1048">
                  <c:v>0.89444444444444193</c:v>
                </c:pt>
                <c:pt idx="1049">
                  <c:v>0.89513888888888637</c:v>
                </c:pt>
                <c:pt idx="1050">
                  <c:v>0.89583333333333082</c:v>
                </c:pt>
                <c:pt idx="1051">
                  <c:v>0.89652777777777526</c:v>
                </c:pt>
                <c:pt idx="1052">
                  <c:v>0.8972222222222197</c:v>
                </c:pt>
                <c:pt idx="1053">
                  <c:v>0.89791666666666414</c:v>
                </c:pt>
                <c:pt idx="1054">
                  <c:v>0.89861111111110858</c:v>
                </c:pt>
                <c:pt idx="1055">
                  <c:v>0.89930555555555303</c:v>
                </c:pt>
                <c:pt idx="1056">
                  <c:v>0.89999999999999747</c:v>
                </c:pt>
                <c:pt idx="1057">
                  <c:v>0.90069444444444191</c:v>
                </c:pt>
                <c:pt idx="1058">
                  <c:v>0.90138888888888635</c:v>
                </c:pt>
                <c:pt idx="1059">
                  <c:v>0.90208333333333079</c:v>
                </c:pt>
                <c:pt idx="1060">
                  <c:v>0.90277777777777524</c:v>
                </c:pt>
                <c:pt idx="1061">
                  <c:v>0.90347222222221968</c:v>
                </c:pt>
                <c:pt idx="1062">
                  <c:v>0.90416666666666412</c:v>
                </c:pt>
                <c:pt idx="1063">
                  <c:v>0.90486111111110856</c:v>
                </c:pt>
                <c:pt idx="1064">
                  <c:v>0.905555555555553</c:v>
                </c:pt>
                <c:pt idx="1065">
                  <c:v>0.90624999999999745</c:v>
                </c:pt>
                <c:pt idx="1066">
                  <c:v>0.90694444444444189</c:v>
                </c:pt>
                <c:pt idx="1067">
                  <c:v>0.90763888888888633</c:v>
                </c:pt>
                <c:pt idx="1068">
                  <c:v>0.90833333333333077</c:v>
                </c:pt>
                <c:pt idx="1069">
                  <c:v>0.90902777777777521</c:v>
                </c:pt>
                <c:pt idx="1070">
                  <c:v>0.90972222222221966</c:v>
                </c:pt>
                <c:pt idx="1071">
                  <c:v>0.9104166666666641</c:v>
                </c:pt>
                <c:pt idx="1072">
                  <c:v>0.91111111111110854</c:v>
                </c:pt>
                <c:pt idx="1073">
                  <c:v>0.91180555555555298</c:v>
                </c:pt>
                <c:pt idx="1074">
                  <c:v>0.91249999999999742</c:v>
                </c:pt>
                <c:pt idx="1075">
                  <c:v>0.91319444444444187</c:v>
                </c:pt>
                <c:pt idx="1076">
                  <c:v>0.91388888888888631</c:v>
                </c:pt>
                <c:pt idx="1077">
                  <c:v>0.91458333333333075</c:v>
                </c:pt>
                <c:pt idx="1078">
                  <c:v>0.91527777777777519</c:v>
                </c:pt>
                <c:pt idx="1079">
                  <c:v>0.91597222222221963</c:v>
                </c:pt>
                <c:pt idx="1080">
                  <c:v>0.91666666666666408</c:v>
                </c:pt>
                <c:pt idx="1081">
                  <c:v>0.91736111111110852</c:v>
                </c:pt>
                <c:pt idx="1082">
                  <c:v>0.91805555555555296</c:v>
                </c:pt>
                <c:pt idx="1083">
                  <c:v>0.9187499999999974</c:v>
                </c:pt>
                <c:pt idx="1084">
                  <c:v>0.91944444444444184</c:v>
                </c:pt>
                <c:pt idx="1085">
                  <c:v>0.92013888888888629</c:v>
                </c:pt>
                <c:pt idx="1086">
                  <c:v>0.92083333333333073</c:v>
                </c:pt>
                <c:pt idx="1087">
                  <c:v>0.92152777777777517</c:v>
                </c:pt>
                <c:pt idx="1088">
                  <c:v>0.92222222222221961</c:v>
                </c:pt>
                <c:pt idx="1089">
                  <c:v>0.92291666666666405</c:v>
                </c:pt>
                <c:pt idx="1090">
                  <c:v>0.9236111111111085</c:v>
                </c:pt>
                <c:pt idx="1091">
                  <c:v>0.92430555555555294</c:v>
                </c:pt>
                <c:pt idx="1092">
                  <c:v>0.92499999999999738</c:v>
                </c:pt>
                <c:pt idx="1093">
                  <c:v>0.92569444444444182</c:v>
                </c:pt>
                <c:pt idx="1094">
                  <c:v>0.92638888888888626</c:v>
                </c:pt>
                <c:pt idx="1095">
                  <c:v>0.92708333333333071</c:v>
                </c:pt>
                <c:pt idx="1096">
                  <c:v>0.92777777777777515</c:v>
                </c:pt>
                <c:pt idx="1097">
                  <c:v>0.92847222222221959</c:v>
                </c:pt>
                <c:pt idx="1098">
                  <c:v>0.92916666666666403</c:v>
                </c:pt>
                <c:pt idx="1099">
                  <c:v>0.92986111111110847</c:v>
                </c:pt>
                <c:pt idx="1100">
                  <c:v>0.93055555555555292</c:v>
                </c:pt>
                <c:pt idx="1101">
                  <c:v>0.93124999999999736</c:v>
                </c:pt>
                <c:pt idx="1102">
                  <c:v>0.9319444444444418</c:v>
                </c:pt>
                <c:pt idx="1103">
                  <c:v>0.93263888888888624</c:v>
                </c:pt>
                <c:pt idx="1104">
                  <c:v>0.93333333333333068</c:v>
                </c:pt>
                <c:pt idx="1105">
                  <c:v>0.93402777777777513</c:v>
                </c:pt>
                <c:pt idx="1106">
                  <c:v>0.93472222222221957</c:v>
                </c:pt>
                <c:pt idx="1107">
                  <c:v>0.93541666666666401</c:v>
                </c:pt>
                <c:pt idx="1108">
                  <c:v>0.93611111111110845</c:v>
                </c:pt>
                <c:pt idx="1109">
                  <c:v>0.93680555555555289</c:v>
                </c:pt>
                <c:pt idx="1110">
                  <c:v>0.93749999999999734</c:v>
                </c:pt>
                <c:pt idx="1111">
                  <c:v>0.93819444444444178</c:v>
                </c:pt>
                <c:pt idx="1112">
                  <c:v>0.93888888888888622</c:v>
                </c:pt>
                <c:pt idx="1113">
                  <c:v>0.93958333333333066</c:v>
                </c:pt>
                <c:pt idx="1114">
                  <c:v>0.9402777777777751</c:v>
                </c:pt>
                <c:pt idx="1115">
                  <c:v>0.94097222222221955</c:v>
                </c:pt>
                <c:pt idx="1116">
                  <c:v>0.94166666666666399</c:v>
                </c:pt>
                <c:pt idx="1117">
                  <c:v>0.94236111111110843</c:v>
                </c:pt>
                <c:pt idx="1118">
                  <c:v>0.94305555555555287</c:v>
                </c:pt>
                <c:pt idx="1119">
                  <c:v>0.94374999999999731</c:v>
                </c:pt>
                <c:pt idx="1120">
                  <c:v>0.94444444444444176</c:v>
                </c:pt>
                <c:pt idx="1121">
                  <c:v>0.9451388888888862</c:v>
                </c:pt>
                <c:pt idx="1122">
                  <c:v>0.94583333333333064</c:v>
                </c:pt>
                <c:pt idx="1123">
                  <c:v>0.94652777777777508</c:v>
                </c:pt>
                <c:pt idx="1124">
                  <c:v>0.94722222222221952</c:v>
                </c:pt>
                <c:pt idx="1125">
                  <c:v>0.94791666666666397</c:v>
                </c:pt>
                <c:pt idx="1126">
                  <c:v>0.94861111111110841</c:v>
                </c:pt>
                <c:pt idx="1127">
                  <c:v>0.94930555555555285</c:v>
                </c:pt>
                <c:pt idx="1128">
                  <c:v>0.94999999999999729</c:v>
                </c:pt>
                <c:pt idx="1129">
                  <c:v>0.95069444444444173</c:v>
                </c:pt>
                <c:pt idx="1130">
                  <c:v>0.95138888888888618</c:v>
                </c:pt>
                <c:pt idx="1131">
                  <c:v>0.95208333333333062</c:v>
                </c:pt>
                <c:pt idx="1132">
                  <c:v>0.95277777777777506</c:v>
                </c:pt>
                <c:pt idx="1133">
                  <c:v>0.9534722222222195</c:v>
                </c:pt>
                <c:pt idx="1134">
                  <c:v>0.95416666666666394</c:v>
                </c:pt>
                <c:pt idx="1135">
                  <c:v>0.95486111111110838</c:v>
                </c:pt>
                <c:pt idx="1136">
                  <c:v>0.95555555555555283</c:v>
                </c:pt>
                <c:pt idx="1137">
                  <c:v>0.95624999999999727</c:v>
                </c:pt>
                <c:pt idx="1138">
                  <c:v>0.95694444444444171</c:v>
                </c:pt>
                <c:pt idx="1139">
                  <c:v>0.95763888888888615</c:v>
                </c:pt>
                <c:pt idx="1140">
                  <c:v>0.95833333333333059</c:v>
                </c:pt>
                <c:pt idx="1141">
                  <c:v>0.95902777777777504</c:v>
                </c:pt>
                <c:pt idx="1142">
                  <c:v>0.95972222222221948</c:v>
                </c:pt>
                <c:pt idx="1143">
                  <c:v>0.96041666666666392</c:v>
                </c:pt>
                <c:pt idx="1144">
                  <c:v>0.96111111111110836</c:v>
                </c:pt>
                <c:pt idx="1145">
                  <c:v>0.9618055555555528</c:v>
                </c:pt>
                <c:pt idx="1146">
                  <c:v>0.96249999999999725</c:v>
                </c:pt>
                <c:pt idx="1147">
                  <c:v>0.96319444444444169</c:v>
                </c:pt>
                <c:pt idx="1148">
                  <c:v>0.96388888888888613</c:v>
                </c:pt>
                <c:pt idx="1149">
                  <c:v>0.96458333333333057</c:v>
                </c:pt>
                <c:pt idx="1150">
                  <c:v>0.96527777777777501</c:v>
                </c:pt>
                <c:pt idx="1151">
                  <c:v>0.96597222222221946</c:v>
                </c:pt>
                <c:pt idx="1152">
                  <c:v>0.9666666666666639</c:v>
                </c:pt>
                <c:pt idx="1153">
                  <c:v>0.96736111111110834</c:v>
                </c:pt>
                <c:pt idx="1154">
                  <c:v>0.96805555555555278</c:v>
                </c:pt>
                <c:pt idx="1155">
                  <c:v>0.96874999999999722</c:v>
                </c:pt>
                <c:pt idx="1156">
                  <c:v>0.96944444444444167</c:v>
                </c:pt>
                <c:pt idx="1157">
                  <c:v>0.97013888888888611</c:v>
                </c:pt>
                <c:pt idx="1158">
                  <c:v>0.97083333333333055</c:v>
                </c:pt>
                <c:pt idx="1159">
                  <c:v>0.97152777777777499</c:v>
                </c:pt>
                <c:pt idx="1160">
                  <c:v>0.97222222222221943</c:v>
                </c:pt>
                <c:pt idx="1161">
                  <c:v>0.97291666666666388</c:v>
                </c:pt>
                <c:pt idx="1162">
                  <c:v>0.97361111111110832</c:v>
                </c:pt>
                <c:pt idx="1163">
                  <c:v>0.97430555555555276</c:v>
                </c:pt>
                <c:pt idx="1164">
                  <c:v>0.9749999999999972</c:v>
                </c:pt>
                <c:pt idx="1165">
                  <c:v>0.97569444444444164</c:v>
                </c:pt>
                <c:pt idx="1166">
                  <c:v>0.97638888888888609</c:v>
                </c:pt>
                <c:pt idx="1167">
                  <c:v>0.97708333333333053</c:v>
                </c:pt>
                <c:pt idx="1168">
                  <c:v>0.97777777777777497</c:v>
                </c:pt>
                <c:pt idx="1169">
                  <c:v>0.97847222222221941</c:v>
                </c:pt>
                <c:pt idx="1170">
                  <c:v>0.97916666666666385</c:v>
                </c:pt>
                <c:pt idx="1171">
                  <c:v>0.9798611111111083</c:v>
                </c:pt>
                <c:pt idx="1172">
                  <c:v>0.98055555555555274</c:v>
                </c:pt>
                <c:pt idx="1173">
                  <c:v>0.98124999999999718</c:v>
                </c:pt>
                <c:pt idx="1174">
                  <c:v>0.98194444444444162</c:v>
                </c:pt>
                <c:pt idx="1175">
                  <c:v>0.98263888888888606</c:v>
                </c:pt>
                <c:pt idx="1176">
                  <c:v>0.98333333333333051</c:v>
                </c:pt>
                <c:pt idx="1177">
                  <c:v>0.98402777777777495</c:v>
                </c:pt>
                <c:pt idx="1178">
                  <c:v>0.98472222222221939</c:v>
                </c:pt>
                <c:pt idx="1179">
                  <c:v>0.98541666666666383</c:v>
                </c:pt>
                <c:pt idx="1180">
                  <c:v>0.98611111111110827</c:v>
                </c:pt>
                <c:pt idx="1181">
                  <c:v>0.98680555555555272</c:v>
                </c:pt>
                <c:pt idx="1182">
                  <c:v>0.98749999999999716</c:v>
                </c:pt>
                <c:pt idx="1183">
                  <c:v>0.9881944444444416</c:v>
                </c:pt>
                <c:pt idx="1184">
                  <c:v>0.98888888888888604</c:v>
                </c:pt>
                <c:pt idx="1185">
                  <c:v>0.98958333333333048</c:v>
                </c:pt>
                <c:pt idx="1186">
                  <c:v>0.99027777777777493</c:v>
                </c:pt>
                <c:pt idx="1187">
                  <c:v>0.99097222222221937</c:v>
                </c:pt>
                <c:pt idx="1188">
                  <c:v>0.99166666666666381</c:v>
                </c:pt>
                <c:pt idx="1189">
                  <c:v>0.99236111111110825</c:v>
                </c:pt>
                <c:pt idx="1190">
                  <c:v>0.99305555555555269</c:v>
                </c:pt>
                <c:pt idx="1191">
                  <c:v>0.99374999999999714</c:v>
                </c:pt>
                <c:pt idx="1192">
                  <c:v>0.99444444444444158</c:v>
                </c:pt>
                <c:pt idx="1193">
                  <c:v>0.99513888888888602</c:v>
                </c:pt>
                <c:pt idx="1194">
                  <c:v>0.99583333333333046</c:v>
                </c:pt>
                <c:pt idx="1195">
                  <c:v>0.9965277777777749</c:v>
                </c:pt>
                <c:pt idx="1196">
                  <c:v>0.99722222222221935</c:v>
                </c:pt>
                <c:pt idx="1197">
                  <c:v>0.99791666666666379</c:v>
                </c:pt>
                <c:pt idx="1198">
                  <c:v>0.99861111111110823</c:v>
                </c:pt>
                <c:pt idx="1199">
                  <c:v>0.99930555555555267</c:v>
                </c:pt>
                <c:pt idx="1200">
                  <c:v>0.99999999999999711</c:v>
                </c:pt>
                <c:pt idx="1201">
                  <c:v>1.0006944444444417</c:v>
                </c:pt>
                <c:pt idx="1202">
                  <c:v>1.0013888888888862</c:v>
                </c:pt>
                <c:pt idx="1203">
                  <c:v>1.0020833333333308</c:v>
                </c:pt>
                <c:pt idx="1204">
                  <c:v>1.0027777777777753</c:v>
                </c:pt>
                <c:pt idx="1205">
                  <c:v>1.0034722222222199</c:v>
                </c:pt>
                <c:pt idx="1206">
                  <c:v>1.0041666666666644</c:v>
                </c:pt>
                <c:pt idx="1207">
                  <c:v>1.004861111111109</c:v>
                </c:pt>
                <c:pt idx="1208">
                  <c:v>1.0055555555555535</c:v>
                </c:pt>
                <c:pt idx="1209">
                  <c:v>1.0062499999999981</c:v>
                </c:pt>
                <c:pt idx="1210">
                  <c:v>1.0069444444444426</c:v>
                </c:pt>
                <c:pt idx="1211">
                  <c:v>1.0076388888888872</c:v>
                </c:pt>
                <c:pt idx="1212">
                  <c:v>1.0083333333333317</c:v>
                </c:pt>
                <c:pt idx="1213">
                  <c:v>1.0090277777777763</c:v>
                </c:pt>
                <c:pt idx="1214">
                  <c:v>1.0097222222222209</c:v>
                </c:pt>
                <c:pt idx="1215">
                  <c:v>1.0104166666666654</c:v>
                </c:pt>
                <c:pt idx="1216">
                  <c:v>1.01111111111111</c:v>
                </c:pt>
                <c:pt idx="1217">
                  <c:v>1.0118055555555545</c:v>
                </c:pt>
                <c:pt idx="1218">
                  <c:v>1.0124999999999991</c:v>
                </c:pt>
                <c:pt idx="1219">
                  <c:v>1.0131944444444436</c:v>
                </c:pt>
                <c:pt idx="1220">
                  <c:v>1.0138888888888882</c:v>
                </c:pt>
                <c:pt idx="1221">
                  <c:v>1.0145833333333327</c:v>
                </c:pt>
                <c:pt idx="1222">
                  <c:v>1.0152777777777773</c:v>
                </c:pt>
                <c:pt idx="1223">
                  <c:v>1.0159722222222218</c:v>
                </c:pt>
                <c:pt idx="1224">
                  <c:v>1.0166666666666664</c:v>
                </c:pt>
                <c:pt idx="1225">
                  <c:v>1.0173611111111109</c:v>
                </c:pt>
                <c:pt idx="1226">
                  <c:v>1.0180555555555555</c:v>
                </c:pt>
                <c:pt idx="1227">
                  <c:v>1.01875</c:v>
                </c:pt>
                <c:pt idx="1228">
                  <c:v>1.0194444444444446</c:v>
                </c:pt>
                <c:pt idx="1229">
                  <c:v>1.0201388888888892</c:v>
                </c:pt>
                <c:pt idx="1230">
                  <c:v>1.0208333333333337</c:v>
                </c:pt>
                <c:pt idx="1231">
                  <c:v>1.0215277777777783</c:v>
                </c:pt>
                <c:pt idx="1232">
                  <c:v>1.0222222222222228</c:v>
                </c:pt>
                <c:pt idx="1233">
                  <c:v>1.0229166666666674</c:v>
                </c:pt>
                <c:pt idx="1234">
                  <c:v>1.0236111111111119</c:v>
                </c:pt>
                <c:pt idx="1235">
                  <c:v>1.0243055555555565</c:v>
                </c:pt>
                <c:pt idx="1236">
                  <c:v>1.025000000000001</c:v>
                </c:pt>
                <c:pt idx="1237">
                  <c:v>1.0256944444444456</c:v>
                </c:pt>
                <c:pt idx="1238">
                  <c:v>1.0263888888888901</c:v>
                </c:pt>
                <c:pt idx="1239">
                  <c:v>1.0270833333333347</c:v>
                </c:pt>
                <c:pt idx="1240">
                  <c:v>1.0277777777777792</c:v>
                </c:pt>
                <c:pt idx="1241">
                  <c:v>1.0284722222222238</c:v>
                </c:pt>
                <c:pt idx="1242">
                  <c:v>1.0291666666666683</c:v>
                </c:pt>
                <c:pt idx="1243">
                  <c:v>1.0298611111111129</c:v>
                </c:pt>
                <c:pt idx="1244">
                  <c:v>1.0305555555555574</c:v>
                </c:pt>
                <c:pt idx="1245">
                  <c:v>1.031250000000002</c:v>
                </c:pt>
                <c:pt idx="1246">
                  <c:v>1.0319444444444466</c:v>
                </c:pt>
                <c:pt idx="1247">
                  <c:v>1.0326388888888911</c:v>
                </c:pt>
                <c:pt idx="1248">
                  <c:v>1.0333333333333357</c:v>
                </c:pt>
                <c:pt idx="1249">
                  <c:v>1.0340277777777802</c:v>
                </c:pt>
                <c:pt idx="1250">
                  <c:v>1.0347222222222248</c:v>
                </c:pt>
                <c:pt idx="1251">
                  <c:v>1.0354166666666693</c:v>
                </c:pt>
                <c:pt idx="1252">
                  <c:v>1.0361111111111139</c:v>
                </c:pt>
                <c:pt idx="1253">
                  <c:v>1.0368055555555584</c:v>
                </c:pt>
                <c:pt idx="1254">
                  <c:v>1.037500000000003</c:v>
                </c:pt>
                <c:pt idx="1255">
                  <c:v>1.0381944444444475</c:v>
                </c:pt>
                <c:pt idx="1256">
                  <c:v>1.0388888888888921</c:v>
                </c:pt>
                <c:pt idx="1257">
                  <c:v>1.0395833333333366</c:v>
                </c:pt>
                <c:pt idx="1258">
                  <c:v>1.0402777777777812</c:v>
                </c:pt>
                <c:pt idx="1259">
                  <c:v>1.0409722222222257</c:v>
                </c:pt>
                <c:pt idx="1260">
                  <c:v>1.0416666666666703</c:v>
                </c:pt>
                <c:pt idx="1261">
                  <c:v>1.0423611111111148</c:v>
                </c:pt>
                <c:pt idx="1262">
                  <c:v>1.0430555555555594</c:v>
                </c:pt>
                <c:pt idx="1263">
                  <c:v>1.043750000000004</c:v>
                </c:pt>
                <c:pt idx="1264">
                  <c:v>1.0444444444444485</c:v>
                </c:pt>
                <c:pt idx="1265">
                  <c:v>1.0451388888888931</c:v>
                </c:pt>
                <c:pt idx="1266">
                  <c:v>1.0458333333333376</c:v>
                </c:pt>
                <c:pt idx="1267">
                  <c:v>1.0465277777777822</c:v>
                </c:pt>
                <c:pt idx="1268">
                  <c:v>1.0472222222222267</c:v>
                </c:pt>
                <c:pt idx="1269">
                  <c:v>1.0479166666666713</c:v>
                </c:pt>
                <c:pt idx="1270">
                  <c:v>1.0486111111111158</c:v>
                </c:pt>
                <c:pt idx="1271">
                  <c:v>1.0493055555555604</c:v>
                </c:pt>
                <c:pt idx="1272">
                  <c:v>1.0500000000000049</c:v>
                </c:pt>
                <c:pt idx="1273">
                  <c:v>1.0506944444444495</c:v>
                </c:pt>
                <c:pt idx="1274">
                  <c:v>1.051388888888894</c:v>
                </c:pt>
                <c:pt idx="1275">
                  <c:v>1.0520833333333386</c:v>
                </c:pt>
                <c:pt idx="1276">
                  <c:v>1.0527777777777831</c:v>
                </c:pt>
                <c:pt idx="1277">
                  <c:v>1.0534722222222277</c:v>
                </c:pt>
                <c:pt idx="1278">
                  <c:v>1.0541666666666722</c:v>
                </c:pt>
                <c:pt idx="1279">
                  <c:v>1.0548611111111168</c:v>
                </c:pt>
                <c:pt idx="1280">
                  <c:v>1.0555555555555614</c:v>
                </c:pt>
                <c:pt idx="1281">
                  <c:v>1.0562500000000059</c:v>
                </c:pt>
                <c:pt idx="1282">
                  <c:v>1.0569444444444505</c:v>
                </c:pt>
                <c:pt idx="1283">
                  <c:v>1.057638888888895</c:v>
                </c:pt>
                <c:pt idx="1284">
                  <c:v>1.0583333333333396</c:v>
                </c:pt>
                <c:pt idx="1285">
                  <c:v>1.0590277777777841</c:v>
                </c:pt>
                <c:pt idx="1286">
                  <c:v>1.0597222222222287</c:v>
                </c:pt>
                <c:pt idx="1287">
                  <c:v>1.0604166666666732</c:v>
                </c:pt>
                <c:pt idx="1288">
                  <c:v>1.0611111111111178</c:v>
                </c:pt>
                <c:pt idx="1289">
                  <c:v>1.0618055555555623</c:v>
                </c:pt>
                <c:pt idx="1290">
                  <c:v>1.0625000000000069</c:v>
                </c:pt>
                <c:pt idx="1291">
                  <c:v>1.0631944444444514</c:v>
                </c:pt>
                <c:pt idx="1292">
                  <c:v>1.063888888888896</c:v>
                </c:pt>
                <c:pt idx="1293">
                  <c:v>1.0645833333333405</c:v>
                </c:pt>
                <c:pt idx="1294">
                  <c:v>1.0652777777777851</c:v>
                </c:pt>
                <c:pt idx="1295">
                  <c:v>1.0659722222222296</c:v>
                </c:pt>
                <c:pt idx="1296">
                  <c:v>1.0666666666666742</c:v>
                </c:pt>
                <c:pt idx="1297">
                  <c:v>1.0673611111111188</c:v>
                </c:pt>
                <c:pt idx="1298">
                  <c:v>1.0680555555555633</c:v>
                </c:pt>
                <c:pt idx="1299">
                  <c:v>1.0687500000000079</c:v>
                </c:pt>
                <c:pt idx="1300">
                  <c:v>1.0694444444444524</c:v>
                </c:pt>
                <c:pt idx="1301">
                  <c:v>1.070138888888897</c:v>
                </c:pt>
                <c:pt idx="1302">
                  <c:v>1.0708333333333415</c:v>
                </c:pt>
                <c:pt idx="1303">
                  <c:v>1.0715277777777861</c:v>
                </c:pt>
                <c:pt idx="1304">
                  <c:v>1.0722222222222306</c:v>
                </c:pt>
                <c:pt idx="1305">
                  <c:v>1.0729166666666752</c:v>
                </c:pt>
                <c:pt idx="1306">
                  <c:v>1.0736111111111197</c:v>
                </c:pt>
                <c:pt idx="1307">
                  <c:v>1.0743055555555643</c:v>
                </c:pt>
                <c:pt idx="1308">
                  <c:v>1.0750000000000088</c:v>
                </c:pt>
                <c:pt idx="1309">
                  <c:v>1.0756944444444534</c:v>
                </c:pt>
                <c:pt idx="1310">
                  <c:v>1.0763888888888979</c:v>
                </c:pt>
                <c:pt idx="1311">
                  <c:v>1.0770833333333425</c:v>
                </c:pt>
                <c:pt idx="1312">
                  <c:v>1.077777777777787</c:v>
                </c:pt>
                <c:pt idx="1313">
                  <c:v>1.0784722222222316</c:v>
                </c:pt>
                <c:pt idx="1314">
                  <c:v>1.0791666666666762</c:v>
                </c:pt>
                <c:pt idx="1315">
                  <c:v>1.0798611111111207</c:v>
                </c:pt>
                <c:pt idx="1316">
                  <c:v>1.0805555555555653</c:v>
                </c:pt>
                <c:pt idx="1317">
                  <c:v>1.0812500000000098</c:v>
                </c:pt>
                <c:pt idx="1318">
                  <c:v>1.0819444444444544</c:v>
                </c:pt>
                <c:pt idx="1319">
                  <c:v>1.0826388888888989</c:v>
                </c:pt>
                <c:pt idx="1320">
                  <c:v>1.0833333333333435</c:v>
                </c:pt>
                <c:pt idx="1321">
                  <c:v>1.084027777777788</c:v>
                </c:pt>
                <c:pt idx="1322">
                  <c:v>1.0847222222222326</c:v>
                </c:pt>
                <c:pt idx="1323">
                  <c:v>1.0854166666666771</c:v>
                </c:pt>
                <c:pt idx="1324">
                  <c:v>1.0861111111111217</c:v>
                </c:pt>
                <c:pt idx="1325">
                  <c:v>1.0868055555555662</c:v>
                </c:pt>
                <c:pt idx="1326">
                  <c:v>1.0875000000000108</c:v>
                </c:pt>
                <c:pt idx="1327">
                  <c:v>1.0881944444444553</c:v>
                </c:pt>
                <c:pt idx="1328">
                  <c:v>1.0888888888888999</c:v>
                </c:pt>
                <c:pt idx="1329">
                  <c:v>1.0895833333333445</c:v>
                </c:pt>
                <c:pt idx="1330">
                  <c:v>1.090277777777789</c:v>
                </c:pt>
                <c:pt idx="1331">
                  <c:v>1.0909722222222336</c:v>
                </c:pt>
                <c:pt idx="1332">
                  <c:v>1.0916666666666781</c:v>
                </c:pt>
                <c:pt idx="1333">
                  <c:v>1.0923611111111227</c:v>
                </c:pt>
                <c:pt idx="1334">
                  <c:v>1.0930555555555672</c:v>
                </c:pt>
                <c:pt idx="1335">
                  <c:v>1.0937500000000118</c:v>
                </c:pt>
                <c:pt idx="1336">
                  <c:v>1.0944444444444563</c:v>
                </c:pt>
                <c:pt idx="1337">
                  <c:v>1.0951388888889009</c:v>
                </c:pt>
                <c:pt idx="1338">
                  <c:v>1.0958333333333454</c:v>
                </c:pt>
                <c:pt idx="1339">
                  <c:v>1.09652777777779</c:v>
                </c:pt>
                <c:pt idx="1340">
                  <c:v>1.0972222222222345</c:v>
                </c:pt>
                <c:pt idx="1341">
                  <c:v>1.0979166666666791</c:v>
                </c:pt>
                <c:pt idx="1342">
                  <c:v>1.0986111111111236</c:v>
                </c:pt>
                <c:pt idx="1343">
                  <c:v>1.0993055555555682</c:v>
                </c:pt>
                <c:pt idx="1344">
                  <c:v>1.1000000000000127</c:v>
                </c:pt>
                <c:pt idx="1345">
                  <c:v>1.1006944444444573</c:v>
                </c:pt>
                <c:pt idx="1346">
                  <c:v>1.1013888888889019</c:v>
                </c:pt>
                <c:pt idx="1347">
                  <c:v>1.1020833333333464</c:v>
                </c:pt>
                <c:pt idx="1348">
                  <c:v>1.102777777777791</c:v>
                </c:pt>
                <c:pt idx="1349">
                  <c:v>1.1034722222222355</c:v>
                </c:pt>
                <c:pt idx="1350">
                  <c:v>1.1041666666666801</c:v>
                </c:pt>
                <c:pt idx="1351">
                  <c:v>1.1048611111111246</c:v>
                </c:pt>
                <c:pt idx="1352">
                  <c:v>1.1055555555555692</c:v>
                </c:pt>
                <c:pt idx="1353">
                  <c:v>1.1062500000000137</c:v>
                </c:pt>
                <c:pt idx="1354">
                  <c:v>1.1069444444444583</c:v>
                </c:pt>
                <c:pt idx="1355">
                  <c:v>1.1076388888889028</c:v>
                </c:pt>
                <c:pt idx="1356">
                  <c:v>1.1083333333333474</c:v>
                </c:pt>
                <c:pt idx="1357">
                  <c:v>1.1090277777777919</c:v>
                </c:pt>
                <c:pt idx="1358">
                  <c:v>1.1097222222222365</c:v>
                </c:pt>
                <c:pt idx="1359">
                  <c:v>1.110416666666681</c:v>
                </c:pt>
                <c:pt idx="1360">
                  <c:v>1.1111111111111256</c:v>
                </c:pt>
                <c:pt idx="1361">
                  <c:v>1.1118055555555701</c:v>
                </c:pt>
                <c:pt idx="1362">
                  <c:v>1.1125000000000147</c:v>
                </c:pt>
                <c:pt idx="1363">
                  <c:v>1.1131944444444593</c:v>
                </c:pt>
                <c:pt idx="1364">
                  <c:v>1.1138888888889038</c:v>
                </c:pt>
                <c:pt idx="1365">
                  <c:v>1.1145833333333484</c:v>
                </c:pt>
                <c:pt idx="1366">
                  <c:v>1.1152777777777929</c:v>
                </c:pt>
                <c:pt idx="1367">
                  <c:v>1.1159722222222375</c:v>
                </c:pt>
                <c:pt idx="1368">
                  <c:v>1.116666666666682</c:v>
                </c:pt>
                <c:pt idx="1369">
                  <c:v>1.1173611111111266</c:v>
                </c:pt>
                <c:pt idx="1370">
                  <c:v>1.1180555555555711</c:v>
                </c:pt>
                <c:pt idx="1371">
                  <c:v>1.1187500000000157</c:v>
                </c:pt>
                <c:pt idx="1372">
                  <c:v>1.1194444444444602</c:v>
                </c:pt>
                <c:pt idx="1373">
                  <c:v>1.1201388888889048</c:v>
                </c:pt>
                <c:pt idx="1374">
                  <c:v>1.1208333333333493</c:v>
                </c:pt>
                <c:pt idx="1375">
                  <c:v>1.1215277777777939</c:v>
                </c:pt>
                <c:pt idx="1376">
                  <c:v>1.1222222222222384</c:v>
                </c:pt>
                <c:pt idx="1377">
                  <c:v>1.122916666666683</c:v>
                </c:pt>
                <c:pt idx="1378">
                  <c:v>1.1236111111111275</c:v>
                </c:pt>
                <c:pt idx="1379">
                  <c:v>1.1243055555555721</c:v>
                </c:pt>
                <c:pt idx="1380">
                  <c:v>1.1250000000000167</c:v>
                </c:pt>
                <c:pt idx="1381">
                  <c:v>1.1256944444444612</c:v>
                </c:pt>
                <c:pt idx="1382">
                  <c:v>1.1263888888889058</c:v>
                </c:pt>
                <c:pt idx="1383">
                  <c:v>1.1270833333333503</c:v>
                </c:pt>
                <c:pt idx="1384">
                  <c:v>1.1277777777777949</c:v>
                </c:pt>
                <c:pt idx="1385">
                  <c:v>1.1284722222222394</c:v>
                </c:pt>
                <c:pt idx="1386">
                  <c:v>1.129166666666684</c:v>
                </c:pt>
                <c:pt idx="1387">
                  <c:v>1.1298611111111285</c:v>
                </c:pt>
                <c:pt idx="1388">
                  <c:v>1.1305555555555731</c:v>
                </c:pt>
                <c:pt idx="1389">
                  <c:v>1.1312500000000176</c:v>
                </c:pt>
                <c:pt idx="1390">
                  <c:v>1.1319444444444622</c:v>
                </c:pt>
                <c:pt idx="1391">
                  <c:v>1.1326388888889067</c:v>
                </c:pt>
                <c:pt idx="1392">
                  <c:v>1.1333333333333513</c:v>
                </c:pt>
                <c:pt idx="1393">
                  <c:v>1.1340277777777958</c:v>
                </c:pt>
                <c:pt idx="1394">
                  <c:v>1.1347222222222404</c:v>
                </c:pt>
                <c:pt idx="1395">
                  <c:v>1.1354166666666849</c:v>
                </c:pt>
                <c:pt idx="1396">
                  <c:v>1.1361111111111295</c:v>
                </c:pt>
                <c:pt idx="1397">
                  <c:v>1.1368055555555741</c:v>
                </c:pt>
                <c:pt idx="1398">
                  <c:v>1.1375000000000186</c:v>
                </c:pt>
                <c:pt idx="1399">
                  <c:v>1.1381944444444632</c:v>
                </c:pt>
                <c:pt idx="1400">
                  <c:v>1.1388888888889077</c:v>
                </c:pt>
                <c:pt idx="1401">
                  <c:v>1.1395833333333523</c:v>
                </c:pt>
                <c:pt idx="1402">
                  <c:v>1.1402777777777968</c:v>
                </c:pt>
                <c:pt idx="1403">
                  <c:v>1.1409722222222414</c:v>
                </c:pt>
                <c:pt idx="1404">
                  <c:v>1.1416666666666859</c:v>
                </c:pt>
                <c:pt idx="1405">
                  <c:v>1.1423611111111305</c:v>
                </c:pt>
                <c:pt idx="1406">
                  <c:v>1.143055555555575</c:v>
                </c:pt>
                <c:pt idx="1407">
                  <c:v>1.1437500000000196</c:v>
                </c:pt>
                <c:pt idx="1408">
                  <c:v>1.1444444444444641</c:v>
                </c:pt>
                <c:pt idx="1409">
                  <c:v>1.1451388888889087</c:v>
                </c:pt>
                <c:pt idx="1410">
                  <c:v>1.1458333333333532</c:v>
                </c:pt>
                <c:pt idx="1411">
                  <c:v>1.1465277777777978</c:v>
                </c:pt>
                <c:pt idx="1412">
                  <c:v>1.1472222222222423</c:v>
                </c:pt>
                <c:pt idx="1413">
                  <c:v>1.1479166666666869</c:v>
                </c:pt>
                <c:pt idx="1414">
                  <c:v>1.1486111111111315</c:v>
                </c:pt>
                <c:pt idx="1415">
                  <c:v>1.149305555555576</c:v>
                </c:pt>
                <c:pt idx="1416">
                  <c:v>1.1500000000000206</c:v>
                </c:pt>
                <c:pt idx="1417">
                  <c:v>1.1506944444444651</c:v>
                </c:pt>
                <c:pt idx="1418">
                  <c:v>1.1513888888889097</c:v>
                </c:pt>
                <c:pt idx="1419">
                  <c:v>1.1520833333333542</c:v>
                </c:pt>
                <c:pt idx="1420">
                  <c:v>1.1527777777777988</c:v>
                </c:pt>
                <c:pt idx="1421">
                  <c:v>1.1534722222222433</c:v>
                </c:pt>
                <c:pt idx="1422">
                  <c:v>1.1541666666666879</c:v>
                </c:pt>
                <c:pt idx="1423">
                  <c:v>1.1548611111111324</c:v>
                </c:pt>
                <c:pt idx="1424">
                  <c:v>1.155555555555577</c:v>
                </c:pt>
                <c:pt idx="1425">
                  <c:v>1.1562500000000215</c:v>
                </c:pt>
                <c:pt idx="1426">
                  <c:v>1.1569444444444661</c:v>
                </c:pt>
                <c:pt idx="1427">
                  <c:v>1.1576388888889106</c:v>
                </c:pt>
                <c:pt idx="1428">
                  <c:v>1.1583333333333552</c:v>
                </c:pt>
                <c:pt idx="1429">
                  <c:v>1.1590277777777998</c:v>
                </c:pt>
                <c:pt idx="1430">
                  <c:v>1.1597222222222443</c:v>
                </c:pt>
                <c:pt idx="1431">
                  <c:v>1.1604166666666889</c:v>
                </c:pt>
                <c:pt idx="1432">
                  <c:v>1.1611111111111334</c:v>
                </c:pt>
                <c:pt idx="1433">
                  <c:v>1.161805555555578</c:v>
                </c:pt>
                <c:pt idx="1434">
                  <c:v>1.1625000000000225</c:v>
                </c:pt>
                <c:pt idx="1435">
                  <c:v>1.1631944444444671</c:v>
                </c:pt>
                <c:pt idx="1436">
                  <c:v>1.1638888888889116</c:v>
                </c:pt>
                <c:pt idx="1437">
                  <c:v>1.1645833333333562</c:v>
                </c:pt>
                <c:pt idx="1438">
                  <c:v>1.1652777777778007</c:v>
                </c:pt>
                <c:pt idx="1439">
                  <c:v>1.1659722222222453</c:v>
                </c:pt>
              </c:numCache>
            </c:numRef>
          </c:cat>
          <c:val>
            <c:numRef>
              <c:f>'Full Data Array'!$BF$4:$BF$1443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D-49B9-92FB-9A8F8FD14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55360"/>
        <c:axId val="291898112"/>
      </c:areaChart>
      <c:catAx>
        <c:axId val="29185536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one"/>
        <c:crossAx val="291898112"/>
        <c:crosses val="autoZero"/>
        <c:auto val="1"/>
        <c:lblAlgn val="ctr"/>
        <c:lblOffset val="100"/>
        <c:tickMarkSkip val="240"/>
        <c:noMultiLvlLbl val="0"/>
      </c:catAx>
      <c:valAx>
        <c:axId val="291898112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91855360"/>
        <c:crosses val="autoZero"/>
        <c:crossBetween val="midCat"/>
      </c:valAx>
      <c:spPr>
        <a:ln>
          <a:noFill/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28575</xdr:rowOff>
        </xdr:from>
        <xdr:to>
          <xdr:col>2</xdr:col>
          <xdr:colOff>247650</xdr:colOff>
          <xdr:row>18</xdr:row>
          <xdr:rowOff>133350</xdr:rowOff>
        </xdr:to>
        <xdr:sp macro="" textlink="">
          <xdr:nvSpPr>
            <xdr:cNvPr id="736263" name="Button 7" hidden="1">
              <a:extLst>
                <a:ext uri="{63B3BB69-23CF-44E3-9099-C40C66FF867C}">
                  <a14:compatExt spid="_x0000_s736263"/>
                </a:ext>
                <a:ext uri="{FF2B5EF4-FFF2-40B4-BE49-F238E27FC236}">
                  <a16:creationId xmlns:a16="http://schemas.microsoft.com/office/drawing/2014/main" id="{00000000-0008-0000-0300-0000073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17</xdr:row>
          <xdr:rowOff>19050</xdr:rowOff>
        </xdr:from>
        <xdr:to>
          <xdr:col>2</xdr:col>
          <xdr:colOff>2447925</xdr:colOff>
          <xdr:row>18</xdr:row>
          <xdr:rowOff>133350</xdr:rowOff>
        </xdr:to>
        <xdr:sp macro="" textlink="">
          <xdr:nvSpPr>
            <xdr:cNvPr id="736264" name="Button 8" hidden="1">
              <a:extLst>
                <a:ext uri="{63B3BB69-23CF-44E3-9099-C40C66FF867C}">
                  <a14:compatExt spid="_x0000_s736264"/>
                </a:ext>
                <a:ext uri="{FF2B5EF4-FFF2-40B4-BE49-F238E27FC236}">
                  <a16:creationId xmlns:a16="http://schemas.microsoft.com/office/drawing/2014/main" id="{00000000-0008-0000-0300-0000083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Generate graphs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9525</xdr:rowOff>
    </xdr:from>
    <xdr:to>
      <xdr:col>97</xdr:col>
      <xdr:colOff>0</xdr:colOff>
      <xdr:row>15</xdr:row>
      <xdr:rowOff>152400</xdr:rowOff>
    </xdr:to>
    <xdr:graphicFrame macro="">
      <xdr:nvGraphicFramePr>
        <xdr:cNvPr id="5510307" name="Day 1">
          <a:extLst>
            <a:ext uri="{FF2B5EF4-FFF2-40B4-BE49-F238E27FC236}">
              <a16:creationId xmlns:a16="http://schemas.microsoft.com/office/drawing/2014/main" id="{00000000-0008-0000-0400-0000A3145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9525</xdr:rowOff>
    </xdr:from>
    <xdr:to>
      <xdr:col>97</xdr:col>
      <xdr:colOff>0</xdr:colOff>
      <xdr:row>15</xdr:row>
      <xdr:rowOff>152400</xdr:rowOff>
    </xdr:to>
    <xdr:graphicFrame macro="">
      <xdr:nvGraphicFramePr>
        <xdr:cNvPr id="2" name="Day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97</xdr:col>
      <xdr:colOff>0</xdr:colOff>
      <xdr:row>6</xdr:row>
      <xdr:rowOff>19050</xdr:rowOff>
    </xdr:to>
    <xdr:graphicFrame macro="">
      <xdr:nvGraphicFramePr>
        <xdr:cNvPr id="5528726" name="ave">
          <a:extLst>
            <a:ext uri="{FF2B5EF4-FFF2-40B4-BE49-F238E27FC236}">
              <a16:creationId xmlns:a16="http://schemas.microsoft.com/office/drawing/2014/main" id="{00000000-0008-0000-0600-0000965C5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B24" sqref="B24"/>
    </sheetView>
  </sheetViews>
  <sheetFormatPr defaultRowHeight="12.75" x14ac:dyDescent="0.2"/>
  <cols>
    <col min="11" max="11" width="15.42578125" bestFit="1" customWidth="1"/>
  </cols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BH2909"/>
  <sheetViews>
    <sheetView showGridLines="0" topLeftCell="V1" zoomScaleNormal="100" workbookViewId="0">
      <pane ySplit="3" topLeftCell="A4" activePane="bottomLeft" state="frozen"/>
      <selection activeCell="C28" sqref="C28"/>
      <selection pane="bottomLeft" activeCell="AG1" sqref="AG1"/>
    </sheetView>
  </sheetViews>
  <sheetFormatPr defaultRowHeight="12.75" x14ac:dyDescent="0.2"/>
  <cols>
    <col min="1" max="1" width="11.140625" customWidth="1"/>
    <col min="2" max="2" width="7.7109375" customWidth="1"/>
    <col min="3" max="5" width="6.5703125" customWidth="1"/>
    <col min="6" max="6" width="4.42578125" customWidth="1"/>
    <col min="7" max="7" width="6.85546875" customWidth="1"/>
    <col min="8" max="8" width="6.140625" customWidth="1"/>
    <col min="9" max="13" width="7.140625" customWidth="1"/>
    <col min="15" max="15" width="10.42578125" customWidth="1"/>
    <col min="16" max="16" width="5.28515625" customWidth="1"/>
    <col min="17" max="17" width="5.140625" customWidth="1"/>
    <col min="18" max="18" width="2.85546875" customWidth="1"/>
    <col min="19" max="19" width="10.42578125" customWidth="1"/>
    <col min="20" max="20" width="8.42578125" customWidth="1"/>
    <col min="21" max="21" width="8.5703125" style="69" customWidth="1"/>
    <col min="22" max="22" width="8.42578125" style="69" customWidth="1"/>
    <col min="23" max="23" width="10.5703125" style="69" customWidth="1"/>
    <col min="24" max="24" width="3.5703125" style="69" customWidth="1"/>
    <col min="25" max="25" width="3.42578125" style="69" customWidth="1"/>
    <col min="26" max="26" width="8.5703125" style="69" bestFit="1" customWidth="1"/>
    <col min="27" max="27" width="10.5703125" customWidth="1"/>
    <col min="28" max="28" width="10.85546875" customWidth="1"/>
    <col min="29" max="29" width="8" bestFit="1" customWidth="1"/>
    <col min="30" max="30" width="6.140625" bestFit="1" customWidth="1"/>
    <col min="31" max="31" width="6.85546875" bestFit="1" customWidth="1"/>
    <col min="32" max="32" width="9.7109375" customWidth="1"/>
    <col min="33" max="33" width="8.7109375" bestFit="1" customWidth="1"/>
    <col min="34" max="35" width="8.5703125" bestFit="1" customWidth="1"/>
    <col min="36" max="36" width="4.140625" customWidth="1"/>
    <col min="38" max="38" width="12.85546875" bestFit="1" customWidth="1"/>
    <col min="39" max="39" width="8.7109375" bestFit="1" customWidth="1"/>
    <col min="40" max="40" width="8.5703125" bestFit="1" customWidth="1"/>
    <col min="41" max="41" width="11.140625" bestFit="1" customWidth="1"/>
    <col min="42" max="42" width="11.140625" customWidth="1"/>
    <col min="43" max="43" width="10.85546875" customWidth="1"/>
    <col min="44" max="44" width="9.85546875" customWidth="1"/>
    <col min="45" max="45" width="9.28515625" customWidth="1"/>
    <col min="46" max="47" width="10.5703125" customWidth="1"/>
    <col min="48" max="48" width="20.28515625" bestFit="1" customWidth="1"/>
    <col min="49" max="49" width="8.5703125" bestFit="1" customWidth="1"/>
    <col min="50" max="50" width="8.7109375" bestFit="1" customWidth="1"/>
    <col min="51" max="51" width="8.5703125" bestFit="1" customWidth="1"/>
    <col min="52" max="52" width="4.42578125" bestFit="1" customWidth="1"/>
    <col min="54" max="54" width="11.42578125" customWidth="1"/>
  </cols>
  <sheetData>
    <row r="1" spans="1:59" x14ac:dyDescent="0.2">
      <c r="A1" s="15" t="e">
        <f ca="1">OFFSET(A4,rows-1,0,1,1)-A4+1</f>
        <v>#VALUE!</v>
      </c>
      <c r="B1" s="19"/>
      <c r="C1" s="3"/>
      <c r="D1" s="3"/>
      <c r="E1" s="3"/>
      <c r="F1" s="4"/>
      <c r="G1" s="4"/>
      <c r="H1" s="5"/>
      <c r="I1" s="4"/>
      <c r="J1" s="4"/>
      <c r="K1" s="4"/>
      <c r="L1" s="4"/>
      <c r="M1" s="4"/>
      <c r="N1" s="11"/>
      <c r="O1" s="12"/>
      <c r="P1" s="12"/>
      <c r="Q1" s="12"/>
      <c r="R1" s="12"/>
      <c r="S1" s="12">
        <f>MATCH(TRUE,S4:S65536,0)</f>
        <v>1</v>
      </c>
      <c r="T1" s="12"/>
      <c r="W1" s="69">
        <v>0.03</v>
      </c>
      <c r="Z1" s="70"/>
      <c r="AF1" s="20" t="s">
        <v>71</v>
      </c>
      <c r="AG1" s="20">
        <f>COUNTA('Input csv'!A101:A65536)</f>
        <v>0</v>
      </c>
      <c r="AH1" s="20"/>
      <c r="AI1" s="20"/>
      <c r="AJ1" s="20"/>
      <c r="AK1" s="66">
        <v>15</v>
      </c>
      <c r="AL1" s="26" t="s">
        <v>49</v>
      </c>
      <c r="AM1" s="25" t="e">
        <f>INT((rows-noon_row)/1440)</f>
        <v>#VALUE!</v>
      </c>
      <c r="AN1" s="4">
        <f>1440/Res</f>
        <v>96</v>
      </c>
      <c r="AO1" s="4">
        <f>I2</f>
        <v>0</v>
      </c>
      <c r="AP1" s="15">
        <f>MAX(F4:F65536)</f>
        <v>0</v>
      </c>
      <c r="AQ1" s="15"/>
      <c r="AR1" s="15"/>
      <c r="AS1" s="15"/>
      <c r="AT1" s="30">
        <f>MAX(H:H)</f>
        <v>0</v>
      </c>
      <c r="AU1" s="30"/>
      <c r="AV1" s="21" t="s">
        <v>45</v>
      </c>
      <c r="AW1" s="23" t="e">
        <f>'Front Page'!C36/'Full Data Array'!AO1</f>
        <v>#DIV/0!</v>
      </c>
      <c r="AX1" s="23" t="e">
        <f>'Front Page'!C37/'Full Data Array'!AO1</f>
        <v>#DIV/0!</v>
      </c>
      <c r="AY1" s="23" t="e">
        <f>'Front Page'!C38/'Full Data Array'!AO1</f>
        <v>#DIV/0!</v>
      </c>
      <c r="BB1" s="19"/>
      <c r="BC1" s="15"/>
    </row>
    <row r="2" spans="1:59" x14ac:dyDescent="0.2">
      <c r="A2" s="32"/>
      <c r="B2" s="15"/>
      <c r="C2" s="3"/>
      <c r="D2" s="28"/>
      <c r="E2" s="3"/>
      <c r="F2" s="4"/>
      <c r="G2" s="4"/>
      <c r="H2" s="5"/>
      <c r="I2" s="4">
        <f>MAX(I4:I65536)</f>
        <v>0</v>
      </c>
      <c r="J2" s="4"/>
      <c r="K2" s="4"/>
      <c r="L2" s="4"/>
      <c r="M2" s="4"/>
      <c r="N2" s="11"/>
      <c r="O2" s="12"/>
      <c r="P2" s="12"/>
      <c r="Q2" s="12"/>
      <c r="R2" s="12"/>
      <c r="S2" s="12"/>
      <c r="T2" s="12"/>
      <c r="AA2" s="4">
        <f>MAX(AA4:AA65536)</f>
        <v>0</v>
      </c>
      <c r="AF2" s="24" t="s">
        <v>72</v>
      </c>
      <c r="AG2" s="24" t="e">
        <f>IF(720-INT(B4*1440)&lt;0,1440+(720-INT(B4*1440))+3,720-INT(B4*1440)+3)</f>
        <v>#VALUE!</v>
      </c>
      <c r="AH2" s="24"/>
      <c r="AI2" s="24"/>
      <c r="AJ2" s="24"/>
      <c r="AK2" s="76" t="e">
        <f>1440-INT(B4*1440)+3</f>
        <v>#VALUE!</v>
      </c>
      <c r="AL2" s="26" t="s">
        <v>59</v>
      </c>
      <c r="AM2" s="25" t="e">
        <f>IF(midnight_row&lt;noon_row,midnight_row,noon_row)</f>
        <v>#VALUE!</v>
      </c>
      <c r="AN2" s="4"/>
      <c r="AO2" s="4"/>
      <c r="AP2" s="15"/>
      <c r="AQ2" s="15"/>
      <c r="AR2" s="15"/>
      <c r="AS2" s="15"/>
      <c r="AV2" s="21"/>
      <c r="AW2" s="23"/>
      <c r="AX2" s="23"/>
      <c r="AY2" s="23"/>
    </row>
    <row r="3" spans="1:59" s="6" customFormat="1" ht="51" x14ac:dyDescent="0.2">
      <c r="A3" s="33" t="s">
        <v>41</v>
      </c>
      <c r="B3" s="18" t="s">
        <v>26</v>
      </c>
      <c r="C3" s="7" t="s">
        <v>27</v>
      </c>
      <c r="D3" s="7" t="s">
        <v>28</v>
      </c>
      <c r="E3" s="7" t="s">
        <v>29</v>
      </c>
      <c r="F3" s="8" t="s">
        <v>30</v>
      </c>
      <c r="G3" s="8" t="s">
        <v>31</v>
      </c>
      <c r="H3" s="9" t="s">
        <v>32</v>
      </c>
      <c r="I3" s="8" t="s">
        <v>33</v>
      </c>
      <c r="J3" s="8" t="s">
        <v>61</v>
      </c>
      <c r="K3" s="8" t="s">
        <v>62</v>
      </c>
      <c r="L3" s="8" t="s">
        <v>63</v>
      </c>
      <c r="M3" s="8" t="s">
        <v>44</v>
      </c>
      <c r="N3" s="6" t="s">
        <v>34</v>
      </c>
      <c r="O3" s="10" t="s">
        <v>36</v>
      </c>
      <c r="P3" s="71" t="s">
        <v>64</v>
      </c>
      <c r="Q3" s="71" t="s">
        <v>64</v>
      </c>
      <c r="R3" s="72"/>
      <c r="S3" s="72" t="s">
        <v>65</v>
      </c>
      <c r="T3" s="75" t="s">
        <v>36</v>
      </c>
      <c r="U3" s="75" t="s">
        <v>69</v>
      </c>
      <c r="V3" s="75" t="s">
        <v>70</v>
      </c>
      <c r="W3" s="73" t="s">
        <v>66</v>
      </c>
      <c r="X3" s="74"/>
      <c r="Y3" s="74"/>
      <c r="Z3" s="74" t="s">
        <v>67</v>
      </c>
      <c r="AA3" s="103" t="s">
        <v>90</v>
      </c>
      <c r="AB3" s="103" t="s">
        <v>91</v>
      </c>
      <c r="AC3"/>
      <c r="AD3"/>
      <c r="AE3"/>
      <c r="AF3" s="69" t="s">
        <v>74</v>
      </c>
      <c r="AG3" s="20" t="e">
        <f>ROUNDDOWN((midnight_row/15)+16,0)</f>
        <v>#VALUE!</v>
      </c>
      <c r="AH3" s="101" t="e">
        <f>1680-(B4*1440)+4</f>
        <v>#VALUE!</v>
      </c>
      <c r="AK3" s="18" t="s">
        <v>89</v>
      </c>
      <c r="AL3" s="8" t="s">
        <v>43</v>
      </c>
      <c r="AM3" s="8" t="s">
        <v>42</v>
      </c>
      <c r="AN3" s="8" t="s">
        <v>37</v>
      </c>
      <c r="AO3" s="6" t="s">
        <v>51</v>
      </c>
      <c r="AP3" s="14" t="s">
        <v>50</v>
      </c>
      <c r="AQ3" s="14" t="s">
        <v>47</v>
      </c>
      <c r="AR3" s="14" t="s">
        <v>46</v>
      </c>
      <c r="AS3" s="14" t="s">
        <v>48</v>
      </c>
      <c r="AT3" s="8" t="s">
        <v>95</v>
      </c>
      <c r="AU3" s="6" t="s">
        <v>73</v>
      </c>
      <c r="AV3" s="60" t="s">
        <v>53</v>
      </c>
      <c r="AW3" s="60" t="s">
        <v>44</v>
      </c>
      <c r="AX3" s="60" t="s">
        <v>54</v>
      </c>
      <c r="AY3" s="60" t="s">
        <v>55</v>
      </c>
      <c r="AZ3" s="6" t="s">
        <v>56</v>
      </c>
      <c r="BA3" s="6" t="s">
        <v>57</v>
      </c>
      <c r="BB3" s="68" t="s">
        <v>58</v>
      </c>
      <c r="BC3" s="14" t="s">
        <v>60</v>
      </c>
      <c r="BE3" s="6" t="s">
        <v>80</v>
      </c>
      <c r="BF3" s="6" t="s">
        <v>88</v>
      </c>
      <c r="BG3" s="6" t="s">
        <v>81</v>
      </c>
    </row>
    <row r="4" spans="1:59" ht="12" customHeight="1" x14ac:dyDescent="0.25">
      <c r="A4" s="32" t="str">
        <f>LEFT('Input csv'!A101,10)</f>
        <v/>
      </c>
      <c r="B4" s="19" t="str">
        <f>MID('Input csv'!A101,12,5)</f>
        <v/>
      </c>
      <c r="C4" s="3">
        <f>'Input csv'!B101</f>
        <v>0</v>
      </c>
      <c r="D4" s="3">
        <f>'Input csv'!C101</f>
        <v>0</v>
      </c>
      <c r="E4" s="3">
        <f>'Input csv'!D101</f>
        <v>0</v>
      </c>
      <c r="F4" s="4">
        <f>'Input csv'!E101</f>
        <v>0</v>
      </c>
      <c r="G4" s="4">
        <f>'Input csv'!F101</f>
        <v>0</v>
      </c>
      <c r="H4" s="5">
        <f>'Input csv'!G101</f>
        <v>0</v>
      </c>
      <c r="I4" s="4">
        <f>'Input csv'!H101</f>
        <v>0</v>
      </c>
      <c r="J4" s="4">
        <f>'Input csv'!I101</f>
        <v>0</v>
      </c>
      <c r="K4" s="4">
        <f>'Input csv'!J101</f>
        <v>0</v>
      </c>
      <c r="L4" s="4">
        <f>'Input csv'!K101</f>
        <v>0</v>
      </c>
      <c r="M4" s="4">
        <f>'Input csv'!L101</f>
        <v>0</v>
      </c>
      <c r="N4" s="11" t="str">
        <f>IF(W4=TRUE,"no wear",IF(S4=TRUE,"bed",IF(I4&gt;'Front Page'!$C$38,"vigorous",IF(I4&gt;'Front Page'!$C$37,"moderate",IF(I4&gt;'Front Page'!$C$36,"light","sedentary")))))</f>
        <v>no wear</v>
      </c>
      <c r="O4" s="13"/>
      <c r="P4" s="4">
        <f>(J4+K4+L4)</f>
        <v>0</v>
      </c>
      <c r="Q4">
        <f t="shared" ref="Q4:Q35" si="0">(O4*I4)*(100/frequency)</f>
        <v>0</v>
      </c>
      <c r="R4">
        <f>MEDIAN($P$1:P63)</f>
        <v>0</v>
      </c>
      <c r="S4" t="b">
        <f>IF(R4&gt;0.1,FALSE,TRUE)</f>
        <v>1</v>
      </c>
      <c r="T4" s="15"/>
      <c r="U4" s="15">
        <f>AVERAGE(T$4:T34)</f>
        <v>0</v>
      </c>
      <c r="V4" s="15">
        <f>MIN(U$4:U44)</f>
        <v>0</v>
      </c>
      <c r="W4" t="b">
        <f t="shared" ref="W4:W35" si="1">IF(I4&gt;light_to_mod_cut_off,FALSE,V4&lt;no_wear_cut_off)</f>
        <v>1</v>
      </c>
      <c r="X4">
        <f t="shared" ref="X4:X35" si="2">IF(Q4&lt;ss,1,0)</f>
        <v>1</v>
      </c>
      <c r="Y4">
        <f>SUM($X$4:X4)</f>
        <v>1</v>
      </c>
      <c r="Z4">
        <f>IF(AND(S4=TRUE,Y4&gt;6,W4=FALSE), 1,0)</f>
        <v>0</v>
      </c>
      <c r="AB4" t="str">
        <f>IF(W4=TRUE,"",IF(S4=TRUE,0,IF(N4="sedentary",1,IF(N4="light",2,IF(N4="moderate",3,IF(N4="vigorous",4))))))</f>
        <v/>
      </c>
      <c r="AK4" s="17">
        <f>1/6</f>
        <v>0.16666666666666666</v>
      </c>
      <c r="AL4" s="15" t="e">
        <f ca="1">AVERAGE(OFFSET(I$4,(AK4-$AK$4)*1440-(1440-Four_am)-4,0,Res,1))</f>
        <v>#VALUE!</v>
      </c>
      <c r="AM4" s="4" t="e">
        <f ca="1">AVERAGE(OFFSET($M$4,($AK4-$AK$4)*1440-(1440-Four_am)-4,0,Res,1))</f>
        <v>#VALUE!</v>
      </c>
      <c r="AN4" s="4" t="e">
        <f ca="1">IF(OFFSET($S$4,($AK4-$AK$4)*1440-(1440-Four_am)-4,0,1,1)=TRUE,1,"")</f>
        <v>#VALUE!</v>
      </c>
      <c r="AO4" s="15" t="e">
        <f ca="1">AL4/$AO$1</f>
        <v>#VALUE!</v>
      </c>
      <c r="AP4" s="15" t="e">
        <f ca="1">AM4/$AP$1</f>
        <v>#VALUE!</v>
      </c>
      <c r="AQ4" s="15" t="e">
        <f>$AW$1</f>
        <v>#DIV/0!</v>
      </c>
      <c r="AR4" s="15" t="e">
        <f>$AX$1</f>
        <v>#DIV/0!</v>
      </c>
      <c r="AS4" s="15" t="e">
        <f>$AY$1</f>
        <v>#DIV/0!</v>
      </c>
      <c r="AT4" s="4" t="e">
        <f ca="1">AVERAGE(OFFSET(V$4,(AK4-$AK$4)*1440-(1440-Four_am)-4,0,Res,1))</f>
        <v>#VALUE!</v>
      </c>
      <c r="AU4" s="11" t="e">
        <f ca="1">IF(AT4&lt;no_wear_cut_off,"No-wear",IF(AN4=1,"Sleep",IF(AL4&gt;'Front Page'!$C$38,"vigorous",IF(AL4&gt;'Front Page'!$C$37,"moderate",IF(AL4&gt;'Front Page'!$C$36,"light","sedentary")))))</f>
        <v>#VALUE!</v>
      </c>
      <c r="AV4" s="22" t="e">
        <f ca="1">COUNTIF(OFFSET($N$4,0,0,midnight_row-3,1),AV$3)/60</f>
        <v>#VALUE!</v>
      </c>
      <c r="AW4" s="22" t="e">
        <f ca="1">COUNTIF(OFFSET($N$4,0,0,midnight_row-3,1),AW$3)/60</f>
        <v>#VALUE!</v>
      </c>
      <c r="AX4" s="22" t="e">
        <f ca="1">COUNTIF(OFFSET($N$4,0,0,midnight_row-3,1),AX$3)/60</f>
        <v>#VALUE!</v>
      </c>
      <c r="AY4" s="22" t="e">
        <f ca="1">COUNTIF(OFFSET($N$4,0,0,midnight_row-3,1),AY$3)/60</f>
        <v>#VALUE!</v>
      </c>
      <c r="AZ4">
        <v>1</v>
      </c>
      <c r="BA4" t="e">
        <f ca="1">(WEEKDAY(OFFSET($A$4,0,0,1,1)))</f>
        <v>#VALUE!</v>
      </c>
      <c r="BB4" s="27" t="e">
        <f ca="1">CHOOSE(WEEKDAY(OFFSET($A$4,0,0,1,1)),"Sunday","Monday","Tuesday","Wednesday","Thursday","Friday","Saturday")</f>
        <v>#VALUE!</v>
      </c>
      <c r="BC4" s="20" t="e">
        <f ca="1">CHOOSE(WEEKDAY(OFFSET($A$4,3+(AZ4-1)*1440,0,1,1)),"Sunday","Monday","Tuesday","Wednesday","Thursday","Friday","Saturday")</f>
        <v>#VALUE!</v>
      </c>
      <c r="BD4" s="32" t="str">
        <f>A4</f>
        <v/>
      </c>
      <c r="BE4" s="19">
        <v>0.16666666666666666</v>
      </c>
      <c r="BF4" t="e">
        <f t="shared" ref="BF4:BF67" ca="1" si="3">IF(BG4=0,AVERAGE(OFFSET(BH4,0,0,1,$A$1-1)),AVERAGE(BG4,OFFSET(BH4,0,0,1,$A$1-1)))</f>
        <v>#VALUE!</v>
      </c>
      <c r="BG4" t="e">
        <f ca="1">IF(BE4&lt;$B$5-1/1440,0,OFFSET($AA$4,(BE4-$B$4)*1440,0,1,1))</f>
        <v>#VALUE!</v>
      </c>
    </row>
    <row r="5" spans="1:59" ht="12" customHeight="1" x14ac:dyDescent="0.25">
      <c r="A5" s="32" t="str">
        <f>LEFT('Input csv'!A102,10)</f>
        <v/>
      </c>
      <c r="B5" s="19" t="e">
        <f>B4+1/(1440)</f>
        <v>#VALUE!</v>
      </c>
      <c r="C5" s="3">
        <f>'Input csv'!B102</f>
        <v>0</v>
      </c>
      <c r="D5" s="3">
        <f>'Input csv'!C102</f>
        <v>0</v>
      </c>
      <c r="E5" s="3">
        <f>'Input csv'!D102</f>
        <v>0</v>
      </c>
      <c r="F5" s="4">
        <f>'Input csv'!E102</f>
        <v>0</v>
      </c>
      <c r="G5" s="4">
        <f>'Input csv'!F102</f>
        <v>0</v>
      </c>
      <c r="H5" s="5">
        <f>'Input csv'!G102</f>
        <v>0</v>
      </c>
      <c r="I5" s="4">
        <f>'Input csv'!H102</f>
        <v>0</v>
      </c>
      <c r="J5" s="4">
        <f>'Input csv'!I102</f>
        <v>0</v>
      </c>
      <c r="K5" s="4">
        <f>'Input csv'!J102</f>
        <v>0</v>
      </c>
      <c r="L5" s="4">
        <f>'Input csv'!K102</f>
        <v>0</v>
      </c>
      <c r="M5" s="4">
        <f>'Input csv'!L102</f>
        <v>0</v>
      </c>
      <c r="N5" s="11" t="str">
        <f>IF(W5=TRUE,"no wear",IF(S5=TRUE,"bed",IF(I5&gt;'Front Page'!$C$38,"vigorous",IF(I5&gt;'Front Page'!$C$37,"moderate",IF(I5&gt;'Front Page'!$C$36,"light","sedentary")))))</f>
        <v>no wear</v>
      </c>
      <c r="O5" s="13">
        <f>SQRT(ABS(C4-C5+D4-D5+E4-E5))</f>
        <v>0</v>
      </c>
      <c r="P5" s="4">
        <f t="shared" ref="P5:P65" si="4">(J5+K5+L5)</f>
        <v>0</v>
      </c>
      <c r="Q5">
        <f t="shared" si="0"/>
        <v>0</v>
      </c>
      <c r="R5">
        <f>MEDIAN($P$1:P64)</f>
        <v>0</v>
      </c>
      <c r="S5" t="b">
        <f t="shared" ref="S5:S65" si="5">IF(R5&gt;0.1,FALSE,TRUE)</f>
        <v>1</v>
      </c>
      <c r="T5" s="15">
        <f t="shared" ref="T5:T65" si="6">O5</f>
        <v>0</v>
      </c>
      <c r="U5" s="15">
        <f>AVERAGE(T$4:T35)</f>
        <v>0</v>
      </c>
      <c r="V5" s="15">
        <f>MIN(U$4:U45)</f>
        <v>0</v>
      </c>
      <c r="W5" t="b">
        <f t="shared" si="1"/>
        <v>1</v>
      </c>
      <c r="X5">
        <f t="shared" si="2"/>
        <v>1</v>
      </c>
      <c r="Y5">
        <f>SUM($X$4:X5)</f>
        <v>2</v>
      </c>
      <c r="Z5">
        <f t="shared" ref="Z5:Z65" si="7">IF(AND(S5=TRUE,Y5&gt;6,W5=FALSE), 1,0)</f>
        <v>0</v>
      </c>
      <c r="AA5" t="str">
        <f t="shared" ref="AA5:AA36" si="8">IF(W5=TRUE,"",SQRT((ABS(J4-J5)+ABS(K4-K5)+ABS(L4-L5))*I5*100/frequency))</f>
        <v/>
      </c>
      <c r="AB5" t="str">
        <f t="shared" ref="AB5:AB65" si="9">IF(W5=TRUE,"",IF(S5=TRUE,0,IF(N5="sedentary",1,IF(N5="light",2,IF(N5="moderate",3,IF(N5="vigorous",4))))))</f>
        <v/>
      </c>
      <c r="AK5" s="19">
        <f>AK4+(Res)*(1/(1440))</f>
        <v>0.17708333333333331</v>
      </c>
      <c r="AL5" s="15" t="e">
        <f ca="1">AVERAGE(OFFSET(I$4,(AK5-$AK$4)*1440-(1440-Four_am)-4,0,Res,1))</f>
        <v>#VALUE!</v>
      </c>
      <c r="AM5" s="4" t="e">
        <f ca="1">AVERAGE(OFFSET($M$4,($AK5-$AK$4)*1440-(1440-Four_am)-4,0,Res,1))</f>
        <v>#VALUE!</v>
      </c>
      <c r="AN5" s="4" t="e">
        <f ca="1">IF(OFFSET($S$4,($AK5-$AK$4)*1440-(1440-Four_am)-4,0,1,1)=TRUE,1,"")</f>
        <v>#VALUE!</v>
      </c>
      <c r="AO5" s="15" t="e">
        <f ca="1">AL5/$AO$1</f>
        <v>#VALUE!</v>
      </c>
      <c r="AP5" s="15" t="e">
        <f ca="1">AM5/$AP$1</f>
        <v>#VALUE!</v>
      </c>
      <c r="AQ5" s="15" t="e">
        <f>$AW$1</f>
        <v>#DIV/0!</v>
      </c>
      <c r="AR5" s="15" t="e">
        <f>$AX$1</f>
        <v>#DIV/0!</v>
      </c>
      <c r="AS5" s="15" t="e">
        <f>$AY$1</f>
        <v>#DIV/0!</v>
      </c>
      <c r="AT5" s="4" t="e">
        <f ca="1">AVERAGE(OFFSET(V$4,(AK5-$AK$4)*1440-(1440-Four_am)-4,0,Res,1))</f>
        <v>#VALUE!</v>
      </c>
      <c r="AU5" s="11" t="e">
        <f ca="1">IF(AT5&lt;no_wear_cut_off,"No-wear",IF(AN5=1,"Sleep",IF(AL5&gt;'Front Page'!$C$38,"vigorous",IF(AL5&gt;'Front Page'!$C$37,"moderate",IF(AL5&gt;'Front Page'!$C$36,"light","sedentary")))))</f>
        <v>#VALUE!</v>
      </c>
      <c r="AV5" s="22" t="e">
        <f ca="1">COUNTIF(OFFSET($N$4,($AZ5-2)*1440+midnight_row-3,0,1440,1),AV$3)/60</f>
        <v>#VALUE!</v>
      </c>
      <c r="AW5" s="22" t="e">
        <f ca="1">COUNTIF(OFFSET($N$4,($AZ5-2)*1440+midnight_row-3,0,1440,1),AW$3)/60</f>
        <v>#VALUE!</v>
      </c>
      <c r="AX5" s="22" t="e">
        <f ca="1">COUNTIF(OFFSET($N$4,($AZ5-2)*1440+midnight_row-3,0,1440,1),AX$3)/60</f>
        <v>#VALUE!</v>
      </c>
      <c r="AY5" s="22" t="e">
        <f ca="1">COUNTIF(OFFSET($N$4,($AZ5-2)*1440+midnight_row-3,0,1440,1),AY$3)/60</f>
        <v>#VALUE!</v>
      </c>
      <c r="AZ5">
        <v>2</v>
      </c>
      <c r="BA5" t="e">
        <f ca="1">IF(BA4=7,1,BA4+1)</f>
        <v>#VALUE!</v>
      </c>
      <c r="BB5" s="27" t="e">
        <f ca="1">CHOOSE(BA5,"Sunday","Monday","Tuesday","Wednesday","Thursday","Friday","Saturday")</f>
        <v>#VALUE!</v>
      </c>
      <c r="BC5" s="20" t="str">
        <f ca="1">CHOOSE(WEEKDAY(OFFSET($A$4,3+(AZ5-1)*1440,0,1,1)),"Sunday","Monday","Tuesday","Wednesday","Thursday","Friday","Saturday")</f>
        <v>Saturday</v>
      </c>
      <c r="BD5" t="e">
        <f ca="1">OFFSET('Full Data Array'!$A$4,(midnight_row-3)+(AZ5-2)*1440,0,1,1)</f>
        <v>#VALUE!</v>
      </c>
      <c r="BE5" s="19">
        <f>BE4+1/1440</f>
        <v>0.1673611111111111</v>
      </c>
      <c r="BF5" t="e">
        <f t="shared" ca="1" si="3"/>
        <v>#VALUE!</v>
      </c>
      <c r="BG5" t="e">
        <f t="shared" ref="BG5:BG68" ca="1" si="10">IF(BE5&lt;$B$5-1/1440,0,OFFSET($AA$4,(BE5-$B$4)*1440,0,1,1))</f>
        <v>#VALUE!</v>
      </c>
    </row>
    <row r="6" spans="1:59" ht="12" customHeight="1" x14ac:dyDescent="0.25">
      <c r="A6" s="32" t="str">
        <f>LEFT('Input csv'!A103,10)</f>
        <v/>
      </c>
      <c r="B6" s="19" t="e">
        <f t="shared" ref="B6:B65" si="11">B5+1/(1440)</f>
        <v>#VALUE!</v>
      </c>
      <c r="C6" s="3">
        <f>'Input csv'!B103</f>
        <v>0</v>
      </c>
      <c r="D6" s="3">
        <f>'Input csv'!C103</f>
        <v>0</v>
      </c>
      <c r="E6" s="3">
        <f>'Input csv'!D103</f>
        <v>0</v>
      </c>
      <c r="F6" s="4">
        <f>'Input csv'!E103</f>
        <v>0</v>
      </c>
      <c r="G6" s="4">
        <f>'Input csv'!F103</f>
        <v>0</v>
      </c>
      <c r="H6" s="5">
        <f>'Input csv'!G103</f>
        <v>0</v>
      </c>
      <c r="I6" s="4">
        <f>'Input csv'!H103</f>
        <v>0</v>
      </c>
      <c r="J6" s="4">
        <f>'Input csv'!I103</f>
        <v>0</v>
      </c>
      <c r="K6" s="4">
        <f>'Input csv'!J103</f>
        <v>0</v>
      </c>
      <c r="L6" s="4">
        <f>'Input csv'!K103</f>
        <v>0</v>
      </c>
      <c r="M6" s="4">
        <f>'Input csv'!L103</f>
        <v>0</v>
      </c>
      <c r="N6" s="11" t="str">
        <f>IF(W6=TRUE,"no wear",IF(S6=TRUE,"bed",IF(I6&gt;'Front Page'!$C$38,"vigorous",IF(I6&gt;'Front Page'!$C$37,"moderate",IF(I6&gt;'Front Page'!$C$36,"light","sedentary")))))</f>
        <v>no wear</v>
      </c>
      <c r="O6" s="13">
        <f t="shared" ref="O6:O16" si="12">SQRT(ABS(C5-C6+D5-D6+E5-E6))</f>
        <v>0</v>
      </c>
      <c r="P6" s="4">
        <f>(J6+K6+L6)</f>
        <v>0</v>
      </c>
      <c r="Q6">
        <f t="shared" si="0"/>
        <v>0</v>
      </c>
      <c r="R6">
        <f>MEDIAN($P$1:P65)</f>
        <v>0</v>
      </c>
      <c r="S6" t="b">
        <f t="shared" si="5"/>
        <v>1</v>
      </c>
      <c r="T6" s="15">
        <f t="shared" si="6"/>
        <v>0</v>
      </c>
      <c r="U6" s="15">
        <f>AVERAGE(T$4:T36)</f>
        <v>0</v>
      </c>
      <c r="V6" s="15">
        <f>MIN(U$4:U46)</f>
        <v>0</v>
      </c>
      <c r="W6" t="b">
        <f t="shared" si="1"/>
        <v>1</v>
      </c>
      <c r="X6">
        <f t="shared" si="2"/>
        <v>1</v>
      </c>
      <c r="Y6">
        <f>SUM($X$4:X6)</f>
        <v>3</v>
      </c>
      <c r="Z6">
        <f t="shared" si="7"/>
        <v>0</v>
      </c>
      <c r="AA6" t="str">
        <f t="shared" si="8"/>
        <v/>
      </c>
      <c r="AB6" t="str">
        <f t="shared" si="9"/>
        <v/>
      </c>
      <c r="AK6" s="19">
        <f>AK5+(Res)*(1/(1440))</f>
        <v>0.18749999999999997</v>
      </c>
      <c r="AL6" s="15" t="e">
        <f ca="1">AVERAGE(OFFSET(I$4,(AK6-$AK$4)*1440-(1440-Four_am)-4,0,Res,1))</f>
        <v>#VALUE!</v>
      </c>
      <c r="AM6" s="4" t="e">
        <f ca="1">AVERAGE(OFFSET($M$4,($AK6-$AK$4)*1440-(1440-Four_am)-4,0,Res,1))</f>
        <v>#VALUE!</v>
      </c>
      <c r="AN6" s="4" t="e">
        <f ca="1">IF(OFFSET($S$4,($AK6-$AK$4)*1440-(1440-Four_am)-4,0,1,1)=TRUE,1,"")</f>
        <v>#VALUE!</v>
      </c>
      <c r="AO6" s="15" t="e">
        <f ca="1">AL6/$AO$1</f>
        <v>#VALUE!</v>
      </c>
      <c r="AP6" s="15" t="e">
        <f ca="1">AM6/$AP$1</f>
        <v>#VALUE!</v>
      </c>
      <c r="AQ6" s="15" t="e">
        <f>$AW$1</f>
        <v>#DIV/0!</v>
      </c>
      <c r="AR6" s="15" t="e">
        <f>$AX$1</f>
        <v>#DIV/0!</v>
      </c>
      <c r="AS6" s="15" t="e">
        <f>$AY$1</f>
        <v>#DIV/0!</v>
      </c>
      <c r="AT6" s="4" t="e">
        <f ca="1">AVERAGE(OFFSET(V$4,(AK6-$AK$4)*1440-(1440-Four_am)-4,0,Res,1))</f>
        <v>#VALUE!</v>
      </c>
      <c r="AU6" s="11" t="e">
        <f ca="1">IF(AT6&lt;no_wear_cut_off,"No-wear",IF(AN6=1,"Sleep",IF(AL6&gt;'Front Page'!$C$38,"vigorous",IF(AL6&gt;'Front Page'!$C$37,"moderate",IF(AL6&gt;'Front Page'!$C$36,"light","sedentary")))))</f>
        <v>#VALUE!</v>
      </c>
      <c r="AV6" s="22"/>
      <c r="AW6" s="22"/>
      <c r="AX6" s="22"/>
      <c r="AY6" s="22"/>
      <c r="BB6" s="27"/>
      <c r="BE6" s="19">
        <f t="shared" ref="BE6:BE69" si="13">BE5+1/1440</f>
        <v>0.16805555555555554</v>
      </c>
      <c r="BF6" t="e">
        <f t="shared" ca="1" si="3"/>
        <v>#VALUE!</v>
      </c>
      <c r="BG6" t="e">
        <f t="shared" ca="1" si="10"/>
        <v>#VALUE!</v>
      </c>
    </row>
    <row r="7" spans="1:59" ht="12" customHeight="1" x14ac:dyDescent="0.25">
      <c r="A7" s="32" t="str">
        <f>LEFT('Input csv'!A104,10)</f>
        <v/>
      </c>
      <c r="B7" s="19" t="e">
        <f t="shared" si="11"/>
        <v>#VALUE!</v>
      </c>
      <c r="C7" s="3">
        <f>'Input csv'!B104</f>
        <v>0</v>
      </c>
      <c r="D7" s="3">
        <f>'Input csv'!C104</f>
        <v>0</v>
      </c>
      <c r="E7" s="3">
        <f>'Input csv'!D104</f>
        <v>0</v>
      </c>
      <c r="F7" s="4">
        <f>'Input csv'!E104</f>
        <v>0</v>
      </c>
      <c r="G7" s="4">
        <f>'Input csv'!F104</f>
        <v>0</v>
      </c>
      <c r="H7" s="5">
        <f>'Input csv'!G104</f>
        <v>0</v>
      </c>
      <c r="I7" s="4">
        <f>'Input csv'!H104</f>
        <v>0</v>
      </c>
      <c r="J7" s="4">
        <f>'Input csv'!I104</f>
        <v>0</v>
      </c>
      <c r="K7" s="4">
        <f>'Input csv'!J104</f>
        <v>0</v>
      </c>
      <c r="L7" s="4">
        <f>'Input csv'!K104</f>
        <v>0</v>
      </c>
      <c r="M7" s="4">
        <f>'Input csv'!L104</f>
        <v>0</v>
      </c>
      <c r="N7" s="11" t="str">
        <f>IF(W7=TRUE,"no wear",IF(S7=TRUE,"bed",IF(I7&gt;'Front Page'!$C$38,"vigorous",IF(I7&gt;'Front Page'!$C$37,"moderate",IF(I7&gt;'Front Page'!$C$36,"light","sedentary")))))</f>
        <v>no wear</v>
      </c>
      <c r="O7" s="13">
        <f>SQRT(ABS(C6-C7+D6-D7+E6-E7))</f>
        <v>0</v>
      </c>
      <c r="P7" s="4">
        <f t="shared" si="4"/>
        <v>0</v>
      </c>
      <c r="Q7">
        <f>(O7*I7)*(100/frequency)</f>
        <v>0</v>
      </c>
      <c r="R7">
        <f>MEDIAN($P$1:P66)</f>
        <v>0</v>
      </c>
      <c r="S7" t="b">
        <f t="shared" si="5"/>
        <v>1</v>
      </c>
      <c r="T7" s="15">
        <f t="shared" si="6"/>
        <v>0</v>
      </c>
      <c r="U7" s="15">
        <f>AVERAGE(T$4:T37)</f>
        <v>0</v>
      </c>
      <c r="V7" s="15">
        <f>MIN(U$4:U47)</f>
        <v>0</v>
      </c>
      <c r="W7" t="b">
        <f t="shared" si="1"/>
        <v>1</v>
      </c>
      <c r="X7">
        <f>IF(Q7&lt;ss,1,0)</f>
        <v>1</v>
      </c>
      <c r="Y7">
        <f>SUM($X$4:X7)</f>
        <v>4</v>
      </c>
      <c r="Z7">
        <f t="shared" si="7"/>
        <v>0</v>
      </c>
      <c r="AA7" t="str">
        <f t="shared" si="8"/>
        <v/>
      </c>
      <c r="AB7" t="str">
        <f t="shared" si="9"/>
        <v/>
      </c>
      <c r="AK7" s="19"/>
      <c r="AL7" s="4"/>
      <c r="AM7" s="4"/>
      <c r="AN7" s="4"/>
      <c r="AO7" s="15"/>
      <c r="AP7" s="15"/>
      <c r="AQ7" s="15"/>
      <c r="AR7" s="15"/>
      <c r="AS7" s="15"/>
      <c r="AT7" s="5"/>
      <c r="AU7" s="4"/>
      <c r="AV7" s="22"/>
      <c r="AW7" s="22"/>
      <c r="AX7" s="22"/>
      <c r="AY7" s="22"/>
      <c r="BB7" s="27"/>
      <c r="BE7" s="19">
        <f t="shared" si="13"/>
        <v>0.16874999999999998</v>
      </c>
      <c r="BF7" t="e">
        <f t="shared" ca="1" si="3"/>
        <v>#VALUE!</v>
      </c>
      <c r="BG7" t="e">
        <f t="shared" ca="1" si="10"/>
        <v>#VALUE!</v>
      </c>
    </row>
    <row r="8" spans="1:59" ht="12" customHeight="1" x14ac:dyDescent="0.25">
      <c r="A8" s="32" t="str">
        <f>LEFT('Input csv'!A105,10)</f>
        <v/>
      </c>
      <c r="B8" s="19" t="e">
        <f t="shared" si="11"/>
        <v>#VALUE!</v>
      </c>
      <c r="C8" s="3">
        <f>'Input csv'!B105</f>
        <v>0</v>
      </c>
      <c r="D8" s="3">
        <f>'Input csv'!C105</f>
        <v>0</v>
      </c>
      <c r="E8" s="3">
        <f>'Input csv'!D105</f>
        <v>0</v>
      </c>
      <c r="F8" s="4">
        <f>'Input csv'!E105</f>
        <v>0</v>
      </c>
      <c r="G8" s="4">
        <f>'Input csv'!F105</f>
        <v>0</v>
      </c>
      <c r="H8" s="5">
        <f>'Input csv'!G105</f>
        <v>0</v>
      </c>
      <c r="I8" s="4">
        <f>'Input csv'!H105</f>
        <v>0</v>
      </c>
      <c r="J8" s="4">
        <f>'Input csv'!I105</f>
        <v>0</v>
      </c>
      <c r="K8" s="4">
        <f>'Input csv'!J105</f>
        <v>0</v>
      </c>
      <c r="L8" s="4">
        <f>'Input csv'!K105</f>
        <v>0</v>
      </c>
      <c r="M8" s="4">
        <f>'Input csv'!L105</f>
        <v>0</v>
      </c>
      <c r="N8" s="11" t="str">
        <f>IF(W8=TRUE,"no wear",IF(S8=TRUE,"bed",IF(I8&gt;'Front Page'!$C$38,"vigorous",IF(I8&gt;'Front Page'!$C$37,"moderate",IF(I8&gt;'Front Page'!$C$36,"light","sedentary")))))</f>
        <v>no wear</v>
      </c>
      <c r="O8" s="13">
        <f t="shared" si="12"/>
        <v>0</v>
      </c>
      <c r="P8" s="4">
        <f t="shared" si="4"/>
        <v>0</v>
      </c>
      <c r="Q8">
        <f t="shared" si="0"/>
        <v>0</v>
      </c>
      <c r="R8">
        <f>MEDIAN($P$1:P67)</f>
        <v>0</v>
      </c>
      <c r="S8" t="b">
        <f t="shared" si="5"/>
        <v>1</v>
      </c>
      <c r="T8" s="15">
        <f t="shared" si="6"/>
        <v>0</v>
      </c>
      <c r="U8" s="15">
        <f>AVERAGE(T$4:T38)</f>
        <v>0</v>
      </c>
      <c r="V8" s="15">
        <f>MIN(U$4:U48)</f>
        <v>0</v>
      </c>
      <c r="W8" t="b">
        <f t="shared" si="1"/>
        <v>1</v>
      </c>
      <c r="X8">
        <f t="shared" si="2"/>
        <v>1</v>
      </c>
      <c r="Y8">
        <f>SUM($X$4:X8)</f>
        <v>5</v>
      </c>
      <c r="Z8">
        <f t="shared" si="7"/>
        <v>0</v>
      </c>
      <c r="AA8" t="str">
        <f t="shared" si="8"/>
        <v/>
      </c>
      <c r="AB8" t="str">
        <f t="shared" si="9"/>
        <v/>
      </c>
      <c r="AK8" s="19"/>
      <c r="AM8" s="4"/>
      <c r="AN8" s="4"/>
      <c r="AO8" s="4"/>
      <c r="AP8" s="15"/>
      <c r="AQ8" s="15"/>
      <c r="AR8" s="15"/>
      <c r="AS8" s="15"/>
      <c r="AT8" s="5"/>
      <c r="AU8" s="4"/>
      <c r="AV8" s="22"/>
      <c r="AW8" s="22"/>
      <c r="AX8" s="22"/>
      <c r="AY8" s="22"/>
      <c r="BB8" s="27"/>
      <c r="BE8" s="19">
        <f t="shared" si="13"/>
        <v>0.16944444444444443</v>
      </c>
      <c r="BF8" t="e">
        <f t="shared" ca="1" si="3"/>
        <v>#VALUE!</v>
      </c>
      <c r="BG8" t="e">
        <f t="shared" ca="1" si="10"/>
        <v>#VALUE!</v>
      </c>
    </row>
    <row r="9" spans="1:59" ht="12" customHeight="1" x14ac:dyDescent="0.25">
      <c r="A9" s="32" t="str">
        <f>LEFT('Input csv'!A106,10)</f>
        <v/>
      </c>
      <c r="B9" s="19" t="e">
        <f t="shared" si="11"/>
        <v>#VALUE!</v>
      </c>
      <c r="C9" s="3">
        <f>'Input csv'!B106</f>
        <v>0</v>
      </c>
      <c r="D9" s="3">
        <f>'Input csv'!C106</f>
        <v>0</v>
      </c>
      <c r="E9" s="3">
        <f>'Input csv'!D106</f>
        <v>0</v>
      </c>
      <c r="F9" s="4">
        <f>'Input csv'!E106</f>
        <v>0</v>
      </c>
      <c r="G9" s="4">
        <f>'Input csv'!F106</f>
        <v>0</v>
      </c>
      <c r="H9" s="5">
        <f>'Input csv'!G106</f>
        <v>0</v>
      </c>
      <c r="I9" s="4">
        <f>'Input csv'!H106</f>
        <v>0</v>
      </c>
      <c r="J9" s="4">
        <f>'Input csv'!I106</f>
        <v>0</v>
      </c>
      <c r="K9" s="4">
        <f>'Input csv'!J106</f>
        <v>0</v>
      </c>
      <c r="L9" s="4">
        <f>'Input csv'!K106</f>
        <v>0</v>
      </c>
      <c r="M9" s="4">
        <f>'Input csv'!L106</f>
        <v>0</v>
      </c>
      <c r="N9" s="11" t="str">
        <f>IF(W9=TRUE,"no wear",IF(S9=TRUE,"bed",IF(I9&gt;'Front Page'!$C$38,"vigorous",IF(I9&gt;'Front Page'!$C$37,"moderate",IF(I9&gt;'Front Page'!$C$36,"light","sedentary")))))</f>
        <v>no wear</v>
      </c>
      <c r="O9" s="13">
        <f>SQRT(ABS(C8-C9+D8-D9+E8-E9))</f>
        <v>0</v>
      </c>
      <c r="P9" s="4">
        <f t="shared" si="4"/>
        <v>0</v>
      </c>
      <c r="Q9">
        <f t="shared" si="0"/>
        <v>0</v>
      </c>
      <c r="R9">
        <f>MEDIAN($P$1:P68)</f>
        <v>0</v>
      </c>
      <c r="S9" t="b">
        <f t="shared" si="5"/>
        <v>1</v>
      </c>
      <c r="T9" s="15">
        <f t="shared" si="6"/>
        <v>0</v>
      </c>
      <c r="U9" s="15">
        <f>AVERAGE(T$4:T39)</f>
        <v>0</v>
      </c>
      <c r="V9" s="15">
        <f>MIN(U$4:U49)</f>
        <v>0</v>
      </c>
      <c r="W9" t="b">
        <f t="shared" si="1"/>
        <v>1</v>
      </c>
      <c r="X9">
        <f t="shared" si="2"/>
        <v>1</v>
      </c>
      <c r="Y9">
        <f>SUM($X$4:X9)</f>
        <v>6</v>
      </c>
      <c r="Z9">
        <f>IF(AND(S9=TRUE,Y9&gt;6,W9=FALSE), 1,0)</f>
        <v>0</v>
      </c>
      <c r="AA9" t="str">
        <f t="shared" si="8"/>
        <v/>
      </c>
      <c r="AB9" t="str">
        <f t="shared" si="9"/>
        <v/>
      </c>
      <c r="AK9" s="19"/>
      <c r="AM9" s="4"/>
      <c r="AN9" s="4"/>
      <c r="AO9" s="4"/>
      <c r="AP9" s="15"/>
      <c r="AQ9" s="15"/>
      <c r="AR9" s="15"/>
      <c r="AS9" s="15"/>
      <c r="AT9" s="5"/>
      <c r="AU9" s="4"/>
      <c r="AV9" s="22"/>
      <c r="AW9" s="22"/>
      <c r="AX9" s="22"/>
      <c r="AY9" s="22"/>
      <c r="BB9" s="27"/>
      <c r="BE9" s="19">
        <f t="shared" si="13"/>
        <v>0.17013888888888887</v>
      </c>
      <c r="BF9" t="e">
        <f ca="1">IF(BG9=0,AVERAGE(OFFSET(BH9,0,0,1,$A$1-1)),AVERAGE(BG9,OFFSET(BH9,0,0,1,$A$1-1)))</f>
        <v>#VALUE!</v>
      </c>
      <c r="BG9" t="e">
        <f t="shared" ca="1" si="10"/>
        <v>#VALUE!</v>
      </c>
    </row>
    <row r="10" spans="1:59" ht="12" customHeight="1" x14ac:dyDescent="0.2">
      <c r="A10" s="32" t="str">
        <f>LEFT('Input csv'!A107,10)</f>
        <v/>
      </c>
      <c r="B10" s="19" t="e">
        <f t="shared" si="11"/>
        <v>#VALUE!</v>
      </c>
      <c r="C10" s="3">
        <f>'Input csv'!B107</f>
        <v>0</v>
      </c>
      <c r="D10" s="3">
        <f>'Input csv'!C107</f>
        <v>0</v>
      </c>
      <c r="E10" s="3">
        <f>'Input csv'!D107</f>
        <v>0</v>
      </c>
      <c r="F10" s="4">
        <f>'Input csv'!E107</f>
        <v>0</v>
      </c>
      <c r="G10" s="4">
        <f>'Input csv'!F107</f>
        <v>0</v>
      </c>
      <c r="H10" s="5">
        <f>'Input csv'!G107</f>
        <v>0</v>
      </c>
      <c r="I10" s="4">
        <f>'Input csv'!H107</f>
        <v>0</v>
      </c>
      <c r="J10" s="4">
        <f>'Input csv'!I107</f>
        <v>0</v>
      </c>
      <c r="K10" s="4">
        <f>'Input csv'!J107</f>
        <v>0</v>
      </c>
      <c r="L10" s="4">
        <f>'Input csv'!K107</f>
        <v>0</v>
      </c>
      <c r="M10" s="4">
        <f>'Input csv'!L107</f>
        <v>0</v>
      </c>
      <c r="N10" s="11" t="str">
        <f>IF(W10=TRUE,"no wear",IF(S10=TRUE,"bed",IF(I10&gt;'Front Page'!$C$38,"vigorous",IF(I10&gt;'Front Page'!$C$37,"moderate",IF(I10&gt;'Front Page'!$C$36,"light","sedentary")))))</f>
        <v>no wear</v>
      </c>
      <c r="O10" s="13">
        <f t="shared" si="12"/>
        <v>0</v>
      </c>
      <c r="P10" s="4">
        <f t="shared" si="4"/>
        <v>0</v>
      </c>
      <c r="Q10">
        <f t="shared" si="0"/>
        <v>0</v>
      </c>
      <c r="R10">
        <f>MEDIAN($P$1:P69)</f>
        <v>0</v>
      </c>
      <c r="S10" t="b">
        <f t="shared" si="5"/>
        <v>1</v>
      </c>
      <c r="T10" s="15">
        <f>O10</f>
        <v>0</v>
      </c>
      <c r="U10" s="15">
        <f>AVERAGE(T$4:T40)</f>
        <v>0</v>
      </c>
      <c r="V10" s="15">
        <f>MIN(U$4:U50)</f>
        <v>0</v>
      </c>
      <c r="W10" t="b">
        <f t="shared" si="1"/>
        <v>1</v>
      </c>
      <c r="X10">
        <f t="shared" si="2"/>
        <v>1</v>
      </c>
      <c r="Y10">
        <f>SUM($X$4:X10)</f>
        <v>7</v>
      </c>
      <c r="Z10">
        <f>IF(AND(S10=TRUE,Y10&gt;6,W10=FALSE), 1,0)</f>
        <v>0</v>
      </c>
      <c r="AA10" t="str">
        <f t="shared" si="8"/>
        <v/>
      </c>
      <c r="AB10" t="str">
        <f t="shared" si="9"/>
        <v/>
      </c>
      <c r="AK10" s="19"/>
      <c r="AM10" s="4"/>
      <c r="AN10" s="4"/>
      <c r="AO10" s="4"/>
      <c r="AP10" s="15"/>
      <c r="AQ10" s="15"/>
      <c r="AR10" s="15"/>
      <c r="AS10" s="15"/>
      <c r="AT10" s="5"/>
      <c r="AU10" s="4"/>
      <c r="AV10" s="22"/>
      <c r="AW10" s="22"/>
      <c r="AX10" s="22"/>
      <c r="AY10" s="22"/>
      <c r="BE10" s="19">
        <f t="shared" si="13"/>
        <v>0.17083333333333331</v>
      </c>
      <c r="BF10" t="e">
        <f t="shared" ca="1" si="3"/>
        <v>#VALUE!</v>
      </c>
      <c r="BG10" t="e">
        <f t="shared" ca="1" si="10"/>
        <v>#VALUE!</v>
      </c>
    </row>
    <row r="11" spans="1:59" ht="12" customHeight="1" x14ac:dyDescent="0.2">
      <c r="A11" s="32" t="str">
        <f>LEFT('Input csv'!A108,10)</f>
        <v/>
      </c>
      <c r="B11" s="19" t="e">
        <f t="shared" si="11"/>
        <v>#VALUE!</v>
      </c>
      <c r="C11" s="3">
        <f>'Input csv'!B108</f>
        <v>0</v>
      </c>
      <c r="D11" s="3">
        <f>'Input csv'!C108</f>
        <v>0</v>
      </c>
      <c r="E11" s="3">
        <f>'Input csv'!D108</f>
        <v>0</v>
      </c>
      <c r="F11" s="4">
        <f>'Input csv'!E108</f>
        <v>0</v>
      </c>
      <c r="G11" s="4">
        <f>'Input csv'!F108</f>
        <v>0</v>
      </c>
      <c r="H11" s="5">
        <f>'Input csv'!G108</f>
        <v>0</v>
      </c>
      <c r="I11" s="4">
        <f>'Input csv'!H108</f>
        <v>0</v>
      </c>
      <c r="J11" s="4">
        <f>'Input csv'!I108</f>
        <v>0</v>
      </c>
      <c r="K11" s="4">
        <f>'Input csv'!J108</f>
        <v>0</v>
      </c>
      <c r="L11" s="4">
        <f>'Input csv'!K108</f>
        <v>0</v>
      </c>
      <c r="M11" s="4">
        <f>'Input csv'!L108</f>
        <v>0</v>
      </c>
      <c r="N11" s="11" t="str">
        <f>IF(W11=TRUE,"no wear",IF(S11=TRUE,"bed",IF(I11&gt;'Front Page'!$C$38,"vigorous",IF(I11&gt;'Front Page'!$C$37,"moderate",IF(I11&gt;'Front Page'!$C$36,"light","sedentary")))))</f>
        <v>no wear</v>
      </c>
      <c r="O11" s="13">
        <f t="shared" si="12"/>
        <v>0</v>
      </c>
      <c r="P11" s="4">
        <f t="shared" si="4"/>
        <v>0</v>
      </c>
      <c r="Q11">
        <f t="shared" si="0"/>
        <v>0</v>
      </c>
      <c r="R11">
        <f>MEDIAN($P$1:P70)</f>
        <v>0</v>
      </c>
      <c r="S11" t="b">
        <f t="shared" si="5"/>
        <v>1</v>
      </c>
      <c r="T11" s="15">
        <f t="shared" si="6"/>
        <v>0</v>
      </c>
      <c r="U11" s="15">
        <f>AVERAGE(T$4:T41)</f>
        <v>0</v>
      </c>
      <c r="V11" s="15">
        <f>MIN(U$4:U51)</f>
        <v>0</v>
      </c>
      <c r="W11" t="b">
        <f t="shared" si="1"/>
        <v>1</v>
      </c>
      <c r="X11">
        <f t="shared" si="2"/>
        <v>1</v>
      </c>
      <c r="Y11">
        <f>SUM($X$4:X11)</f>
        <v>8</v>
      </c>
      <c r="Z11">
        <f t="shared" si="7"/>
        <v>0</v>
      </c>
      <c r="AA11" t="str">
        <f t="shared" si="8"/>
        <v/>
      </c>
      <c r="AB11" t="str">
        <f t="shared" si="9"/>
        <v/>
      </c>
      <c r="AK11" s="19"/>
      <c r="AM11" s="4"/>
      <c r="AN11" s="4"/>
      <c r="AO11" s="4"/>
      <c r="AP11" s="15"/>
      <c r="AQ11" s="15"/>
      <c r="AR11" s="15"/>
      <c r="AS11" s="15"/>
      <c r="AT11" s="5"/>
      <c r="AU11" s="4"/>
      <c r="AV11" s="22"/>
      <c r="AW11" s="22"/>
      <c r="AX11" s="22"/>
      <c r="AY11" s="22"/>
      <c r="BE11" s="19">
        <f t="shared" si="13"/>
        <v>0.17152777777777775</v>
      </c>
      <c r="BF11" t="e">
        <f t="shared" ca="1" si="3"/>
        <v>#VALUE!</v>
      </c>
      <c r="BG11" t="e">
        <f t="shared" ca="1" si="10"/>
        <v>#VALUE!</v>
      </c>
    </row>
    <row r="12" spans="1:59" ht="12" customHeight="1" x14ac:dyDescent="0.2">
      <c r="A12" s="32" t="str">
        <f>LEFT('Input csv'!A109,10)</f>
        <v/>
      </c>
      <c r="B12" s="19" t="e">
        <f t="shared" si="11"/>
        <v>#VALUE!</v>
      </c>
      <c r="C12" s="3">
        <f>'Input csv'!B109</f>
        <v>0</v>
      </c>
      <c r="D12" s="3">
        <f>'Input csv'!C109</f>
        <v>0</v>
      </c>
      <c r="E12" s="3">
        <f>'Input csv'!D109</f>
        <v>0</v>
      </c>
      <c r="F12" s="4">
        <f>'Input csv'!E109</f>
        <v>0</v>
      </c>
      <c r="G12" s="4">
        <f>'Input csv'!F109</f>
        <v>0</v>
      </c>
      <c r="H12" s="5">
        <f>'Input csv'!G109</f>
        <v>0</v>
      </c>
      <c r="I12" s="4">
        <f>'Input csv'!H109</f>
        <v>0</v>
      </c>
      <c r="J12" s="4">
        <f>'Input csv'!I109</f>
        <v>0</v>
      </c>
      <c r="K12" s="4">
        <f>'Input csv'!J109</f>
        <v>0</v>
      </c>
      <c r="L12" s="4">
        <f>'Input csv'!K109</f>
        <v>0</v>
      </c>
      <c r="M12" s="4">
        <f>'Input csv'!L109</f>
        <v>0</v>
      </c>
      <c r="N12" s="11" t="str">
        <f>IF(W12=TRUE,"no wear",IF(S12=TRUE,"bed",IF(I12&gt;'Front Page'!$C$38,"vigorous",IF(I12&gt;'Front Page'!$C$37,"moderate",IF(I12&gt;'Front Page'!$C$36,"light","sedentary")))))</f>
        <v>no wear</v>
      </c>
      <c r="O12" s="13">
        <f t="shared" si="12"/>
        <v>0</v>
      </c>
      <c r="P12" s="4">
        <f t="shared" si="4"/>
        <v>0</v>
      </c>
      <c r="Q12">
        <f t="shared" si="0"/>
        <v>0</v>
      </c>
      <c r="R12">
        <f>MEDIAN($P$1:P71)</f>
        <v>0</v>
      </c>
      <c r="S12" t="b">
        <f t="shared" si="5"/>
        <v>1</v>
      </c>
      <c r="T12" s="15">
        <f t="shared" si="6"/>
        <v>0</v>
      </c>
      <c r="U12" s="15">
        <f>AVERAGE(T$4:T42)</f>
        <v>0</v>
      </c>
      <c r="V12" s="15">
        <f>MIN(U$4:U52)</f>
        <v>0</v>
      </c>
      <c r="W12" t="b">
        <f t="shared" si="1"/>
        <v>1</v>
      </c>
      <c r="X12">
        <f t="shared" si="2"/>
        <v>1</v>
      </c>
      <c r="Y12">
        <f>SUM($X$4:X12)</f>
        <v>9</v>
      </c>
      <c r="Z12">
        <f t="shared" si="7"/>
        <v>0</v>
      </c>
      <c r="AA12" t="str">
        <f t="shared" si="8"/>
        <v/>
      </c>
      <c r="AB12" t="str">
        <f t="shared" si="9"/>
        <v/>
      </c>
      <c r="AK12" s="19"/>
      <c r="AM12" s="4"/>
      <c r="AN12" s="4"/>
      <c r="AO12" s="4"/>
      <c r="AP12" s="15"/>
      <c r="AQ12" s="15"/>
      <c r="AR12" s="15"/>
      <c r="AS12" s="15"/>
      <c r="AT12" s="5"/>
      <c r="AU12" s="4"/>
      <c r="AV12" s="22"/>
      <c r="AW12" s="22"/>
      <c r="AX12" s="22"/>
      <c r="AY12" s="22"/>
      <c r="BE12" s="19">
        <f t="shared" si="13"/>
        <v>0.17222222222222219</v>
      </c>
      <c r="BF12" t="e">
        <f t="shared" ca="1" si="3"/>
        <v>#VALUE!</v>
      </c>
      <c r="BG12" t="e">
        <f t="shared" ca="1" si="10"/>
        <v>#VALUE!</v>
      </c>
    </row>
    <row r="13" spans="1:59" ht="12" customHeight="1" x14ac:dyDescent="0.2">
      <c r="A13" s="32" t="str">
        <f>LEFT('Input csv'!A110,10)</f>
        <v/>
      </c>
      <c r="B13" s="19" t="e">
        <f t="shared" si="11"/>
        <v>#VALUE!</v>
      </c>
      <c r="C13" s="3">
        <f>'Input csv'!B110</f>
        <v>0</v>
      </c>
      <c r="D13" s="3">
        <f>'Input csv'!C110</f>
        <v>0</v>
      </c>
      <c r="E13" s="3">
        <f>'Input csv'!D110</f>
        <v>0</v>
      </c>
      <c r="F13" s="4">
        <f>'Input csv'!E110</f>
        <v>0</v>
      </c>
      <c r="G13" s="4">
        <f>'Input csv'!F110</f>
        <v>0</v>
      </c>
      <c r="H13" s="5">
        <f>'Input csv'!G110</f>
        <v>0</v>
      </c>
      <c r="I13" s="4">
        <f>'Input csv'!H110</f>
        <v>0</v>
      </c>
      <c r="J13" s="4">
        <f>'Input csv'!I110</f>
        <v>0</v>
      </c>
      <c r="K13" s="4">
        <f>'Input csv'!J110</f>
        <v>0</v>
      </c>
      <c r="L13" s="4">
        <f>'Input csv'!K110</f>
        <v>0</v>
      </c>
      <c r="M13" s="4">
        <f>'Input csv'!L110</f>
        <v>0</v>
      </c>
      <c r="N13" s="11" t="str">
        <f>IF(W13=TRUE,"no wear",IF(S13=TRUE,"bed",IF(I13&gt;'Front Page'!$C$38,"vigorous",IF(I13&gt;'Front Page'!$C$37,"moderate",IF(I13&gt;'Front Page'!$C$36,"light","sedentary")))))</f>
        <v>no wear</v>
      </c>
      <c r="O13" s="13">
        <f>SQRT(ABS(C12-C13+D12-D13+E12-E13))</f>
        <v>0</v>
      </c>
      <c r="P13" s="4">
        <f t="shared" si="4"/>
        <v>0</v>
      </c>
      <c r="Q13">
        <f t="shared" si="0"/>
        <v>0</v>
      </c>
      <c r="R13">
        <f>MEDIAN($P$1:P72)</f>
        <v>0</v>
      </c>
      <c r="S13" t="b">
        <f t="shared" si="5"/>
        <v>1</v>
      </c>
      <c r="T13" s="15">
        <f t="shared" si="6"/>
        <v>0</v>
      </c>
      <c r="U13" s="15">
        <f>AVERAGE(T$4:T43)</f>
        <v>0</v>
      </c>
      <c r="V13" s="15">
        <f>MIN(U$4:U53)</f>
        <v>0</v>
      </c>
      <c r="W13" t="b">
        <f t="shared" si="1"/>
        <v>1</v>
      </c>
      <c r="X13">
        <f t="shared" si="2"/>
        <v>1</v>
      </c>
      <c r="Y13">
        <f>SUM($X$4:X13)</f>
        <v>10</v>
      </c>
      <c r="Z13">
        <f t="shared" si="7"/>
        <v>0</v>
      </c>
      <c r="AA13" t="str">
        <f t="shared" si="8"/>
        <v/>
      </c>
      <c r="AB13" t="str">
        <f t="shared" si="9"/>
        <v/>
      </c>
      <c r="AK13" s="19"/>
      <c r="AM13" s="4"/>
      <c r="AN13" s="4"/>
      <c r="AO13" s="4"/>
      <c r="AP13" s="15"/>
      <c r="AQ13" s="15"/>
      <c r="AR13" s="15"/>
      <c r="AS13" s="15"/>
      <c r="AT13" s="5"/>
      <c r="AU13" s="4"/>
      <c r="AV13" s="22"/>
      <c r="AW13" s="22"/>
      <c r="AX13" s="22"/>
      <c r="AY13" s="22"/>
      <c r="BE13" s="19">
        <f t="shared" si="13"/>
        <v>0.17291666666666664</v>
      </c>
      <c r="BF13" t="e">
        <f t="shared" ca="1" si="3"/>
        <v>#VALUE!</v>
      </c>
      <c r="BG13" t="e">
        <f t="shared" ca="1" si="10"/>
        <v>#VALUE!</v>
      </c>
    </row>
    <row r="14" spans="1:59" ht="12" customHeight="1" x14ac:dyDescent="0.2">
      <c r="A14" s="32" t="str">
        <f>LEFT('Input csv'!A111,10)</f>
        <v/>
      </c>
      <c r="B14" s="19" t="e">
        <f t="shared" si="11"/>
        <v>#VALUE!</v>
      </c>
      <c r="C14" s="3">
        <f>'Input csv'!B111</f>
        <v>0</v>
      </c>
      <c r="D14" s="3">
        <f>'Input csv'!C111</f>
        <v>0</v>
      </c>
      <c r="E14" s="3">
        <f>'Input csv'!D111</f>
        <v>0</v>
      </c>
      <c r="F14" s="4">
        <f>'Input csv'!E111</f>
        <v>0</v>
      </c>
      <c r="G14" s="4">
        <f>'Input csv'!F111</f>
        <v>0</v>
      </c>
      <c r="H14" s="5">
        <f>'Input csv'!G111</f>
        <v>0</v>
      </c>
      <c r="I14" s="4">
        <f>'Input csv'!H111</f>
        <v>0</v>
      </c>
      <c r="J14" s="4">
        <f>'Input csv'!I111</f>
        <v>0</v>
      </c>
      <c r="K14" s="4">
        <f>'Input csv'!J111</f>
        <v>0</v>
      </c>
      <c r="L14" s="4">
        <f>'Input csv'!K111</f>
        <v>0</v>
      </c>
      <c r="M14" s="4">
        <f>'Input csv'!L111</f>
        <v>0</v>
      </c>
      <c r="N14" s="11" t="str">
        <f>IF(W14=TRUE,"no wear",IF(S14=TRUE,"bed",IF(I14&gt;'Front Page'!$C$38,"vigorous",IF(I14&gt;'Front Page'!$C$37,"moderate",IF(I14&gt;'Front Page'!$C$36,"light","sedentary")))))</f>
        <v>no wear</v>
      </c>
      <c r="O14" s="13">
        <f t="shared" si="12"/>
        <v>0</v>
      </c>
      <c r="P14" s="4">
        <f t="shared" si="4"/>
        <v>0</v>
      </c>
      <c r="Q14">
        <f t="shared" si="0"/>
        <v>0</v>
      </c>
      <c r="R14">
        <f>MEDIAN($P$1:P73)</f>
        <v>0</v>
      </c>
      <c r="S14" t="b">
        <f t="shared" si="5"/>
        <v>1</v>
      </c>
      <c r="T14" s="15">
        <f t="shared" si="6"/>
        <v>0</v>
      </c>
      <c r="U14" s="15">
        <f>AVERAGE(T$4:T44)</f>
        <v>0</v>
      </c>
      <c r="V14" s="15">
        <f>MIN(U$4:U54)</f>
        <v>0</v>
      </c>
      <c r="W14" t="b">
        <f t="shared" si="1"/>
        <v>1</v>
      </c>
      <c r="X14">
        <f t="shared" si="2"/>
        <v>1</v>
      </c>
      <c r="Y14">
        <f>SUM($X$4:X14)</f>
        <v>11</v>
      </c>
      <c r="Z14">
        <f t="shared" si="7"/>
        <v>0</v>
      </c>
      <c r="AA14" t="str">
        <f t="shared" si="8"/>
        <v/>
      </c>
      <c r="AB14" t="str">
        <f t="shared" si="9"/>
        <v/>
      </c>
      <c r="AK14" s="19"/>
      <c r="AM14" s="4"/>
      <c r="AN14" s="4"/>
      <c r="AO14" s="4"/>
      <c r="AP14" s="15"/>
      <c r="AQ14" s="15"/>
      <c r="AR14" s="15"/>
      <c r="AS14" s="15"/>
      <c r="AT14" s="5"/>
      <c r="AU14" s="4"/>
      <c r="AV14" s="22"/>
      <c r="AW14" s="22"/>
      <c r="AX14" s="22"/>
      <c r="AY14" s="22"/>
      <c r="BE14" s="19">
        <f t="shared" si="13"/>
        <v>0.17361111111111108</v>
      </c>
      <c r="BF14" t="e">
        <f t="shared" ca="1" si="3"/>
        <v>#VALUE!</v>
      </c>
      <c r="BG14" t="e">
        <f t="shared" ca="1" si="10"/>
        <v>#VALUE!</v>
      </c>
    </row>
    <row r="15" spans="1:59" ht="12" customHeight="1" x14ac:dyDescent="0.2">
      <c r="A15" s="32" t="str">
        <f>LEFT('Input csv'!A112,10)</f>
        <v/>
      </c>
      <c r="B15" s="19" t="e">
        <f t="shared" si="11"/>
        <v>#VALUE!</v>
      </c>
      <c r="C15" s="3">
        <f>'Input csv'!B112</f>
        <v>0</v>
      </c>
      <c r="D15" s="3">
        <f>'Input csv'!C112</f>
        <v>0</v>
      </c>
      <c r="E15" s="3">
        <f>'Input csv'!D112</f>
        <v>0</v>
      </c>
      <c r="F15" s="4">
        <f>'Input csv'!E112</f>
        <v>0</v>
      </c>
      <c r="G15" s="4">
        <f>'Input csv'!F112</f>
        <v>0</v>
      </c>
      <c r="H15" s="5">
        <f>'Input csv'!G112</f>
        <v>0</v>
      </c>
      <c r="I15" s="4">
        <f>'Input csv'!H112</f>
        <v>0</v>
      </c>
      <c r="J15" s="4">
        <f>'Input csv'!I112</f>
        <v>0</v>
      </c>
      <c r="K15" s="4">
        <f>'Input csv'!J112</f>
        <v>0</v>
      </c>
      <c r="L15" s="4">
        <f>'Input csv'!K112</f>
        <v>0</v>
      </c>
      <c r="M15" s="4">
        <f>'Input csv'!L112</f>
        <v>0</v>
      </c>
      <c r="N15" s="11" t="str">
        <f>IF(W15=TRUE,"no wear",IF(S15=TRUE,"bed",IF(I15&gt;'Front Page'!$C$38,"vigorous",IF(I15&gt;'Front Page'!$C$37,"moderate",IF(I15&gt;'Front Page'!$C$36,"light","sedentary")))))</f>
        <v>no wear</v>
      </c>
      <c r="O15" s="13">
        <f t="shared" si="12"/>
        <v>0</v>
      </c>
      <c r="P15" s="4">
        <f>(J15+K15+L15)</f>
        <v>0</v>
      </c>
      <c r="Q15">
        <f t="shared" si="0"/>
        <v>0</v>
      </c>
      <c r="R15">
        <f>MEDIAN($P$1:P74)</f>
        <v>0</v>
      </c>
      <c r="S15" t="b">
        <f t="shared" si="5"/>
        <v>1</v>
      </c>
      <c r="T15" s="15">
        <f t="shared" si="6"/>
        <v>0</v>
      </c>
      <c r="U15" s="15">
        <f>AVERAGE(T$4:T45)</f>
        <v>0</v>
      </c>
      <c r="V15" s="15">
        <f>MIN(U$4:U55)</f>
        <v>0</v>
      </c>
      <c r="W15" t="b">
        <f t="shared" si="1"/>
        <v>1</v>
      </c>
      <c r="X15">
        <f>IF(Q15&lt;ss,1,0)</f>
        <v>1</v>
      </c>
      <c r="Y15">
        <f>SUM(X4:X15)</f>
        <v>12</v>
      </c>
      <c r="Z15">
        <f t="shared" si="7"/>
        <v>0</v>
      </c>
      <c r="AA15" t="str">
        <f t="shared" si="8"/>
        <v/>
      </c>
      <c r="AB15" t="str">
        <f t="shared" si="9"/>
        <v/>
      </c>
      <c r="AK15" s="19"/>
      <c r="AM15" s="4"/>
      <c r="AN15" s="4"/>
      <c r="AO15" s="4"/>
      <c r="AP15" s="15"/>
      <c r="AQ15" s="15"/>
      <c r="AR15" s="15"/>
      <c r="AS15" s="15"/>
      <c r="AT15" s="5"/>
      <c r="AU15" s="4"/>
      <c r="AV15" s="22"/>
      <c r="AW15" s="22"/>
      <c r="AX15" s="22"/>
      <c r="AY15" s="22"/>
      <c r="BE15" s="19">
        <f t="shared" si="13"/>
        <v>0.17430555555555552</v>
      </c>
      <c r="BF15" t="e">
        <f t="shared" ca="1" si="3"/>
        <v>#VALUE!</v>
      </c>
      <c r="BG15" t="e">
        <f t="shared" ca="1" si="10"/>
        <v>#VALUE!</v>
      </c>
    </row>
    <row r="16" spans="1:59" ht="12" customHeight="1" x14ac:dyDescent="0.2">
      <c r="A16" s="32" t="str">
        <f>LEFT('Input csv'!A113,10)</f>
        <v/>
      </c>
      <c r="B16" s="19" t="e">
        <f t="shared" si="11"/>
        <v>#VALUE!</v>
      </c>
      <c r="C16" s="3">
        <f>'Input csv'!B113</f>
        <v>0</v>
      </c>
      <c r="D16" s="3">
        <f>'Input csv'!C113</f>
        <v>0</v>
      </c>
      <c r="E16" s="3">
        <f>'Input csv'!D113</f>
        <v>0</v>
      </c>
      <c r="F16" s="4">
        <f>'Input csv'!E113</f>
        <v>0</v>
      </c>
      <c r="G16" s="4">
        <f>'Input csv'!F113</f>
        <v>0</v>
      </c>
      <c r="H16" s="5">
        <f>'Input csv'!G113</f>
        <v>0</v>
      </c>
      <c r="I16" s="4">
        <f>'Input csv'!H113</f>
        <v>0</v>
      </c>
      <c r="J16" s="4">
        <f>'Input csv'!I113</f>
        <v>0</v>
      </c>
      <c r="K16" s="4">
        <f>'Input csv'!J113</f>
        <v>0</v>
      </c>
      <c r="L16" s="4">
        <f>'Input csv'!K113</f>
        <v>0</v>
      </c>
      <c r="M16" s="4">
        <f>'Input csv'!L113</f>
        <v>0</v>
      </c>
      <c r="N16" s="11" t="str">
        <f>IF(W16=TRUE,"no wear",IF(S16=TRUE,"bed",IF(I16&gt;'Front Page'!$C$38,"vigorous",IF(I16&gt;'Front Page'!$C$37,"moderate",IF(I16&gt;'Front Page'!$C$36,"light","sedentary")))))</f>
        <v>no wear</v>
      </c>
      <c r="O16" s="13">
        <f t="shared" si="12"/>
        <v>0</v>
      </c>
      <c r="P16" s="4">
        <f t="shared" si="4"/>
        <v>0</v>
      </c>
      <c r="Q16">
        <f t="shared" si="0"/>
        <v>0</v>
      </c>
      <c r="R16">
        <f>MEDIAN($P$1:P75)</f>
        <v>0</v>
      </c>
      <c r="S16" t="b">
        <f t="shared" si="5"/>
        <v>1</v>
      </c>
      <c r="T16" s="15">
        <f t="shared" si="6"/>
        <v>0</v>
      </c>
      <c r="U16" s="15">
        <f>AVERAGE(T$4:T46)</f>
        <v>0</v>
      </c>
      <c r="V16" s="15">
        <f>MIN(U$4:U56)</f>
        <v>0</v>
      </c>
      <c r="W16" t="b">
        <f t="shared" si="1"/>
        <v>1</v>
      </c>
      <c r="X16">
        <f t="shared" si="2"/>
        <v>1</v>
      </c>
      <c r="Y16">
        <f>SUM(X5:X16)</f>
        <v>12</v>
      </c>
      <c r="Z16">
        <f t="shared" si="7"/>
        <v>0</v>
      </c>
      <c r="AA16" t="str">
        <f t="shared" si="8"/>
        <v/>
      </c>
      <c r="AB16" t="str">
        <f t="shared" si="9"/>
        <v/>
      </c>
      <c r="AK16" s="19"/>
      <c r="AM16" s="4"/>
      <c r="AN16" s="4"/>
      <c r="AO16" s="4"/>
      <c r="AP16" s="15"/>
      <c r="AQ16" s="15"/>
      <c r="AR16" s="15"/>
      <c r="AS16" s="15"/>
      <c r="AT16" s="5"/>
      <c r="AU16" s="4"/>
      <c r="AV16" s="22"/>
      <c r="AW16" s="22"/>
      <c r="AX16" s="22"/>
      <c r="AY16" s="22"/>
      <c r="BE16" s="19">
        <f t="shared" si="13"/>
        <v>0.17499999999999996</v>
      </c>
      <c r="BF16" t="e">
        <f t="shared" ca="1" si="3"/>
        <v>#VALUE!</v>
      </c>
      <c r="BG16" t="e">
        <f t="shared" ca="1" si="10"/>
        <v>#VALUE!</v>
      </c>
    </row>
    <row r="17" spans="1:59" ht="12" customHeight="1" x14ac:dyDescent="0.2">
      <c r="A17" s="32" t="str">
        <f>LEFT('Input csv'!A114,10)</f>
        <v/>
      </c>
      <c r="B17" s="19" t="e">
        <f t="shared" si="11"/>
        <v>#VALUE!</v>
      </c>
      <c r="C17" s="3">
        <f>'Input csv'!B114</f>
        <v>0</v>
      </c>
      <c r="D17" s="3">
        <f>'Input csv'!C114</f>
        <v>0</v>
      </c>
      <c r="E17" s="3">
        <f>'Input csv'!D114</f>
        <v>0</v>
      </c>
      <c r="F17" s="4">
        <f>'Input csv'!E114</f>
        <v>0</v>
      </c>
      <c r="G17" s="4">
        <f>'Input csv'!F114</f>
        <v>0</v>
      </c>
      <c r="H17" s="5">
        <f>'Input csv'!G114</f>
        <v>0</v>
      </c>
      <c r="I17" s="4">
        <f>'Input csv'!H114</f>
        <v>0</v>
      </c>
      <c r="J17" s="4">
        <f>'Input csv'!I114</f>
        <v>0</v>
      </c>
      <c r="K17" s="4">
        <f>'Input csv'!J114</f>
        <v>0</v>
      </c>
      <c r="L17" s="4">
        <f>'Input csv'!K114</f>
        <v>0</v>
      </c>
      <c r="M17" s="4">
        <f>'Input csv'!L114</f>
        <v>0</v>
      </c>
      <c r="N17" s="11" t="str">
        <f>IF(W17=TRUE,"no wear",IF(S17=TRUE,"bed",IF(I17&gt;'Front Page'!$C$38,"vigorous",IF(I17&gt;'Front Page'!$C$37,"moderate",IF(I17&gt;'Front Page'!$C$36,"light","sedentary")))))</f>
        <v>no wear</v>
      </c>
      <c r="O17" s="13">
        <f t="shared" ref="O17:O33" si="14">SQRT(ABS(C16-C17+D16-D17+E16-E17))</f>
        <v>0</v>
      </c>
      <c r="P17" s="4">
        <f t="shared" si="4"/>
        <v>0</v>
      </c>
      <c r="Q17">
        <f t="shared" si="0"/>
        <v>0</v>
      </c>
      <c r="R17">
        <f>MEDIAN($P$1:P76)</f>
        <v>0</v>
      </c>
      <c r="S17" t="b">
        <f t="shared" si="5"/>
        <v>1</v>
      </c>
      <c r="T17" s="15">
        <f t="shared" si="6"/>
        <v>0</v>
      </c>
      <c r="U17" s="15">
        <f>AVERAGE(T$4:T47)</f>
        <v>0</v>
      </c>
      <c r="V17" s="15">
        <f>MIN(U$4:U57)</f>
        <v>0</v>
      </c>
      <c r="W17" t="b">
        <f t="shared" si="1"/>
        <v>1</v>
      </c>
      <c r="X17">
        <f t="shared" si="2"/>
        <v>1</v>
      </c>
      <c r="Y17">
        <f>SUM(X6:X17)</f>
        <v>12</v>
      </c>
      <c r="Z17">
        <f t="shared" si="7"/>
        <v>0</v>
      </c>
      <c r="AA17" t="str">
        <f t="shared" si="8"/>
        <v/>
      </c>
      <c r="AB17" t="str">
        <f t="shared" si="9"/>
        <v/>
      </c>
      <c r="AK17" s="19"/>
      <c r="AM17" s="4"/>
      <c r="AN17" s="4"/>
      <c r="AO17" s="4"/>
      <c r="AP17" s="15"/>
      <c r="AQ17" s="15"/>
      <c r="AR17" s="15"/>
      <c r="AS17" s="15"/>
      <c r="AT17" s="5"/>
      <c r="AU17" s="4"/>
      <c r="BE17" s="19">
        <f t="shared" si="13"/>
        <v>0.1756944444444444</v>
      </c>
      <c r="BF17" t="e">
        <f t="shared" ca="1" si="3"/>
        <v>#VALUE!</v>
      </c>
      <c r="BG17" t="e">
        <f t="shared" ca="1" si="10"/>
        <v>#VALUE!</v>
      </c>
    </row>
    <row r="18" spans="1:59" ht="12" customHeight="1" x14ac:dyDescent="0.2">
      <c r="A18" s="32" t="str">
        <f>LEFT('Input csv'!A115,10)</f>
        <v/>
      </c>
      <c r="B18" s="19" t="e">
        <f t="shared" si="11"/>
        <v>#VALUE!</v>
      </c>
      <c r="C18" s="3">
        <f>'Input csv'!B115</f>
        <v>0</v>
      </c>
      <c r="D18" s="3">
        <f>'Input csv'!C115</f>
        <v>0</v>
      </c>
      <c r="E18" s="3">
        <f>'Input csv'!D115</f>
        <v>0</v>
      </c>
      <c r="F18" s="4">
        <f>'Input csv'!E115</f>
        <v>0</v>
      </c>
      <c r="G18" s="4">
        <f>'Input csv'!F115</f>
        <v>0</v>
      </c>
      <c r="H18" s="5">
        <f>'Input csv'!G115</f>
        <v>0</v>
      </c>
      <c r="I18" s="4">
        <f>'Input csv'!H115</f>
        <v>0</v>
      </c>
      <c r="J18" s="4">
        <f>'Input csv'!I115</f>
        <v>0</v>
      </c>
      <c r="K18" s="4">
        <f>'Input csv'!J115</f>
        <v>0</v>
      </c>
      <c r="L18" s="4">
        <f>'Input csv'!K115</f>
        <v>0</v>
      </c>
      <c r="M18" s="4">
        <f>'Input csv'!L115</f>
        <v>0</v>
      </c>
      <c r="N18" s="11" t="str">
        <f>IF(W18=TRUE,"no wear",IF(S18=TRUE,"bed",IF(I18&gt;'Front Page'!$C$38,"vigorous",IF(I18&gt;'Front Page'!$C$37,"moderate",IF(I18&gt;'Front Page'!$C$36,"light","sedentary")))))</f>
        <v>no wear</v>
      </c>
      <c r="O18" s="13">
        <f t="shared" si="14"/>
        <v>0</v>
      </c>
      <c r="P18" s="4">
        <f t="shared" si="4"/>
        <v>0</v>
      </c>
      <c r="Q18">
        <f t="shared" si="0"/>
        <v>0</v>
      </c>
      <c r="R18">
        <f>MEDIAN($P$1:P77)</f>
        <v>0</v>
      </c>
      <c r="S18" t="b">
        <f t="shared" si="5"/>
        <v>1</v>
      </c>
      <c r="T18" s="15">
        <f t="shared" si="6"/>
        <v>0</v>
      </c>
      <c r="U18" s="15">
        <f>AVERAGE(T$4:T48)</f>
        <v>0</v>
      </c>
      <c r="V18" s="15">
        <f>MIN(U$4:U58)</f>
        <v>0</v>
      </c>
      <c r="W18" t="b">
        <f t="shared" si="1"/>
        <v>1</v>
      </c>
      <c r="X18">
        <f t="shared" si="2"/>
        <v>1</v>
      </c>
      <c r="Y18">
        <f t="shared" ref="Y18:Y65" si="15">SUM(X7:X18)</f>
        <v>12</v>
      </c>
      <c r="Z18">
        <f t="shared" si="7"/>
        <v>0</v>
      </c>
      <c r="AA18" t="str">
        <f t="shared" si="8"/>
        <v/>
      </c>
      <c r="AB18" t="str">
        <f t="shared" si="9"/>
        <v/>
      </c>
      <c r="AK18" s="19"/>
      <c r="AM18" s="4"/>
      <c r="AN18" s="15"/>
      <c r="AO18" s="4"/>
      <c r="AP18" s="15"/>
      <c r="AQ18" s="15"/>
      <c r="AR18" s="15"/>
      <c r="AS18" s="15"/>
      <c r="AT18" s="5"/>
      <c r="AU18" s="4"/>
      <c r="BE18" s="19">
        <f t="shared" si="13"/>
        <v>0.17638888888888885</v>
      </c>
      <c r="BF18" t="e">
        <f t="shared" ca="1" si="3"/>
        <v>#VALUE!</v>
      </c>
      <c r="BG18" t="e">
        <f t="shared" ca="1" si="10"/>
        <v>#VALUE!</v>
      </c>
    </row>
    <row r="19" spans="1:59" ht="12" customHeight="1" x14ac:dyDescent="0.2">
      <c r="A19" s="32" t="str">
        <f>LEFT('Input csv'!A116,10)</f>
        <v/>
      </c>
      <c r="B19" s="19" t="e">
        <f t="shared" si="11"/>
        <v>#VALUE!</v>
      </c>
      <c r="C19" s="3">
        <f>'Input csv'!B116</f>
        <v>0</v>
      </c>
      <c r="D19" s="3">
        <f>'Input csv'!C116</f>
        <v>0</v>
      </c>
      <c r="E19" s="3">
        <f>'Input csv'!D116</f>
        <v>0</v>
      </c>
      <c r="F19" s="4">
        <f>'Input csv'!E116</f>
        <v>0</v>
      </c>
      <c r="G19" s="4">
        <f>'Input csv'!F116</f>
        <v>0</v>
      </c>
      <c r="H19" s="5">
        <f>'Input csv'!G116</f>
        <v>0</v>
      </c>
      <c r="I19" s="4">
        <f>'Input csv'!H116</f>
        <v>0</v>
      </c>
      <c r="J19" s="4">
        <f>'Input csv'!I116</f>
        <v>0</v>
      </c>
      <c r="K19" s="4">
        <f>'Input csv'!J116</f>
        <v>0</v>
      </c>
      <c r="L19" s="4">
        <f>'Input csv'!K116</f>
        <v>0</v>
      </c>
      <c r="M19" s="4">
        <f>'Input csv'!L116</f>
        <v>0</v>
      </c>
      <c r="N19" s="11" t="str">
        <f>IF(W19=TRUE,"no wear",IF(S19=TRUE,"bed",IF(I19&gt;'Front Page'!$C$38,"vigorous",IF(I19&gt;'Front Page'!$C$37,"moderate",IF(I19&gt;'Front Page'!$C$36,"light","sedentary")))))</f>
        <v>no wear</v>
      </c>
      <c r="O19" s="13">
        <f t="shared" si="14"/>
        <v>0</v>
      </c>
      <c r="P19" s="4">
        <f t="shared" si="4"/>
        <v>0</v>
      </c>
      <c r="Q19">
        <f t="shared" si="0"/>
        <v>0</v>
      </c>
      <c r="R19">
        <f>MEDIAN($P$1:P78)</f>
        <v>0</v>
      </c>
      <c r="S19" t="b">
        <f t="shared" si="5"/>
        <v>1</v>
      </c>
      <c r="T19" s="15">
        <f t="shared" si="6"/>
        <v>0</v>
      </c>
      <c r="U19" s="15">
        <f>AVERAGE(T$4:T49)</f>
        <v>0</v>
      </c>
      <c r="V19" s="15">
        <f>MIN(U$4:U59)</f>
        <v>0</v>
      </c>
      <c r="W19" t="b">
        <f t="shared" si="1"/>
        <v>1</v>
      </c>
      <c r="X19">
        <f t="shared" si="2"/>
        <v>1</v>
      </c>
      <c r="Y19">
        <f t="shared" si="15"/>
        <v>12</v>
      </c>
      <c r="Z19">
        <f t="shared" si="7"/>
        <v>0</v>
      </c>
      <c r="AA19" t="str">
        <f t="shared" si="8"/>
        <v/>
      </c>
      <c r="AB19" t="str">
        <f t="shared" si="9"/>
        <v/>
      </c>
      <c r="AK19" s="19"/>
      <c r="AM19" s="4"/>
      <c r="AN19" s="4"/>
      <c r="AO19" s="4"/>
      <c r="AP19" s="15"/>
      <c r="AQ19" s="15"/>
      <c r="AR19" s="15"/>
      <c r="AS19" s="15"/>
      <c r="AT19" s="5"/>
      <c r="AU19" s="4"/>
      <c r="BE19" s="19">
        <f t="shared" si="13"/>
        <v>0.17708333333333329</v>
      </c>
      <c r="BF19" t="e">
        <f t="shared" ca="1" si="3"/>
        <v>#VALUE!</v>
      </c>
      <c r="BG19" t="e">
        <f t="shared" ca="1" si="10"/>
        <v>#VALUE!</v>
      </c>
    </row>
    <row r="20" spans="1:59" ht="12" customHeight="1" x14ac:dyDescent="0.2">
      <c r="A20" s="32" t="str">
        <f>LEFT('Input csv'!A117,10)</f>
        <v/>
      </c>
      <c r="B20" s="19" t="e">
        <f t="shared" si="11"/>
        <v>#VALUE!</v>
      </c>
      <c r="C20" s="3">
        <f>'Input csv'!B117</f>
        <v>0</v>
      </c>
      <c r="D20" s="3">
        <f>'Input csv'!C117</f>
        <v>0</v>
      </c>
      <c r="E20" s="3">
        <f>'Input csv'!D117</f>
        <v>0</v>
      </c>
      <c r="F20" s="4">
        <f>'Input csv'!E117</f>
        <v>0</v>
      </c>
      <c r="G20" s="4">
        <f>'Input csv'!F117</f>
        <v>0</v>
      </c>
      <c r="H20" s="5">
        <f>'Input csv'!G117</f>
        <v>0</v>
      </c>
      <c r="I20" s="4">
        <f>'Input csv'!H117</f>
        <v>0</v>
      </c>
      <c r="J20" s="4">
        <f>'Input csv'!I117</f>
        <v>0</v>
      </c>
      <c r="K20" s="4">
        <f>'Input csv'!J117</f>
        <v>0</v>
      </c>
      <c r="L20" s="4">
        <f>'Input csv'!K117</f>
        <v>0</v>
      </c>
      <c r="M20" s="4">
        <f>'Input csv'!L117</f>
        <v>0</v>
      </c>
      <c r="N20" s="11" t="str">
        <f>IF(W20=TRUE,"no wear",IF(S20=TRUE,"bed",IF(I20&gt;'Front Page'!$C$38,"vigorous",IF(I20&gt;'Front Page'!$C$37,"moderate",IF(I20&gt;'Front Page'!$C$36,"light","sedentary")))))</f>
        <v>no wear</v>
      </c>
      <c r="O20" s="13">
        <f t="shared" si="14"/>
        <v>0</v>
      </c>
      <c r="P20" s="4">
        <f t="shared" si="4"/>
        <v>0</v>
      </c>
      <c r="Q20">
        <f t="shared" si="0"/>
        <v>0</v>
      </c>
      <c r="R20">
        <f>MEDIAN($P$1:P79)</f>
        <v>0</v>
      </c>
      <c r="S20" t="b">
        <f t="shared" si="5"/>
        <v>1</v>
      </c>
      <c r="T20" s="15">
        <f t="shared" si="6"/>
        <v>0</v>
      </c>
      <c r="U20" s="15">
        <f>AVERAGE(T$4:T50)</f>
        <v>0</v>
      </c>
      <c r="V20" s="15">
        <f>MIN(U$4:U60)</f>
        <v>0</v>
      </c>
      <c r="W20" t="b">
        <f t="shared" si="1"/>
        <v>1</v>
      </c>
      <c r="X20">
        <f t="shared" si="2"/>
        <v>1</v>
      </c>
      <c r="Y20">
        <f t="shared" si="15"/>
        <v>12</v>
      </c>
      <c r="Z20">
        <f t="shared" si="7"/>
        <v>0</v>
      </c>
      <c r="AA20" t="str">
        <f t="shared" si="8"/>
        <v/>
      </c>
      <c r="AB20" t="str">
        <f t="shared" si="9"/>
        <v/>
      </c>
      <c r="AK20" s="19"/>
      <c r="AM20" s="4"/>
      <c r="AN20" s="4"/>
      <c r="AO20" s="4"/>
      <c r="AP20" s="15"/>
      <c r="AQ20" s="15"/>
      <c r="AR20" s="15"/>
      <c r="AS20" s="15"/>
      <c r="AT20" s="5"/>
      <c r="AU20" s="4"/>
      <c r="BE20" s="19">
        <f t="shared" si="13"/>
        <v>0.17777777777777773</v>
      </c>
      <c r="BF20" t="e">
        <f t="shared" ca="1" si="3"/>
        <v>#VALUE!</v>
      </c>
      <c r="BG20" t="e">
        <f t="shared" ca="1" si="10"/>
        <v>#VALUE!</v>
      </c>
    </row>
    <row r="21" spans="1:59" ht="12" customHeight="1" x14ac:dyDescent="0.2">
      <c r="A21" s="32" t="str">
        <f>LEFT('Input csv'!A118,10)</f>
        <v/>
      </c>
      <c r="B21" s="19" t="e">
        <f t="shared" si="11"/>
        <v>#VALUE!</v>
      </c>
      <c r="C21" s="3">
        <f>'Input csv'!B118</f>
        <v>0</v>
      </c>
      <c r="D21" s="3">
        <f>'Input csv'!C118</f>
        <v>0</v>
      </c>
      <c r="E21" s="3">
        <f>'Input csv'!D118</f>
        <v>0</v>
      </c>
      <c r="F21" s="4">
        <f>'Input csv'!E118</f>
        <v>0</v>
      </c>
      <c r="G21" s="4">
        <f>'Input csv'!F118</f>
        <v>0</v>
      </c>
      <c r="H21" s="5">
        <f>'Input csv'!G118</f>
        <v>0</v>
      </c>
      <c r="I21" s="4">
        <f>'Input csv'!H118</f>
        <v>0</v>
      </c>
      <c r="J21" s="4">
        <f>'Input csv'!I118</f>
        <v>0</v>
      </c>
      <c r="K21" s="4">
        <f>'Input csv'!J118</f>
        <v>0</v>
      </c>
      <c r="L21" s="4">
        <f>'Input csv'!K118</f>
        <v>0</v>
      </c>
      <c r="M21" s="4">
        <f>'Input csv'!L118</f>
        <v>0</v>
      </c>
      <c r="N21" s="11" t="str">
        <f>IF(W21=TRUE,"no wear",IF(S21=TRUE,"bed",IF(I21&gt;'Front Page'!$C$38,"vigorous",IF(I21&gt;'Front Page'!$C$37,"moderate",IF(I21&gt;'Front Page'!$C$36,"light","sedentary")))))</f>
        <v>no wear</v>
      </c>
      <c r="O21" s="13">
        <f t="shared" si="14"/>
        <v>0</v>
      </c>
      <c r="P21" s="4">
        <f t="shared" si="4"/>
        <v>0</v>
      </c>
      <c r="Q21">
        <f t="shared" si="0"/>
        <v>0</v>
      </c>
      <c r="R21">
        <f>MEDIAN($P$1:P80)</f>
        <v>0</v>
      </c>
      <c r="S21" t="b">
        <f t="shared" si="5"/>
        <v>1</v>
      </c>
      <c r="T21" s="15">
        <f t="shared" si="6"/>
        <v>0</v>
      </c>
      <c r="U21" s="15">
        <f>AVERAGE(T$4:T51)</f>
        <v>0</v>
      </c>
      <c r="V21" s="15">
        <f>MIN(U$4:U61)</f>
        <v>0</v>
      </c>
      <c r="W21" t="b">
        <f t="shared" si="1"/>
        <v>1</v>
      </c>
      <c r="X21">
        <f t="shared" si="2"/>
        <v>1</v>
      </c>
      <c r="Y21">
        <f t="shared" si="15"/>
        <v>12</v>
      </c>
      <c r="Z21">
        <f t="shared" si="7"/>
        <v>0</v>
      </c>
      <c r="AA21" t="str">
        <f t="shared" si="8"/>
        <v/>
      </c>
      <c r="AB21" t="str">
        <f t="shared" si="9"/>
        <v/>
      </c>
      <c r="AK21" s="19"/>
      <c r="AM21" s="4"/>
      <c r="AN21" s="4"/>
      <c r="AO21" s="4"/>
      <c r="AP21" s="15"/>
      <c r="AQ21" s="15"/>
      <c r="AR21" s="15"/>
      <c r="AS21" s="15"/>
      <c r="AT21" s="5"/>
      <c r="AU21" s="4"/>
      <c r="BE21" s="19">
        <f t="shared" si="13"/>
        <v>0.17847222222222217</v>
      </c>
      <c r="BF21" t="e">
        <f t="shared" ca="1" si="3"/>
        <v>#VALUE!</v>
      </c>
      <c r="BG21" t="e">
        <f t="shared" ca="1" si="10"/>
        <v>#VALUE!</v>
      </c>
    </row>
    <row r="22" spans="1:59" ht="12" customHeight="1" x14ac:dyDescent="0.2">
      <c r="A22" s="32" t="str">
        <f>LEFT('Input csv'!A119,10)</f>
        <v/>
      </c>
      <c r="B22" s="19" t="e">
        <f t="shared" si="11"/>
        <v>#VALUE!</v>
      </c>
      <c r="C22" s="3">
        <f>'Input csv'!B119</f>
        <v>0</v>
      </c>
      <c r="D22" s="3">
        <f>'Input csv'!C119</f>
        <v>0</v>
      </c>
      <c r="E22" s="3">
        <f>'Input csv'!D119</f>
        <v>0</v>
      </c>
      <c r="F22" s="4">
        <f>'Input csv'!E119</f>
        <v>0</v>
      </c>
      <c r="G22" s="4">
        <f>'Input csv'!F119</f>
        <v>0</v>
      </c>
      <c r="H22" s="5">
        <f>'Input csv'!G119</f>
        <v>0</v>
      </c>
      <c r="I22" s="4">
        <f>'Input csv'!H119</f>
        <v>0</v>
      </c>
      <c r="J22" s="4">
        <f>'Input csv'!I119</f>
        <v>0</v>
      </c>
      <c r="K22" s="4">
        <f>'Input csv'!J119</f>
        <v>0</v>
      </c>
      <c r="L22" s="4">
        <f>'Input csv'!K119</f>
        <v>0</v>
      </c>
      <c r="M22" s="4">
        <f>'Input csv'!L119</f>
        <v>0</v>
      </c>
      <c r="N22" s="11" t="str">
        <f>IF(W22=TRUE,"no wear",IF(S22=TRUE,"bed",IF(I22&gt;'Front Page'!$C$38,"vigorous",IF(I22&gt;'Front Page'!$C$37,"moderate",IF(I22&gt;'Front Page'!$C$36,"light","sedentary")))))</f>
        <v>no wear</v>
      </c>
      <c r="O22" s="13">
        <f t="shared" si="14"/>
        <v>0</v>
      </c>
      <c r="P22" s="4">
        <f t="shared" si="4"/>
        <v>0</v>
      </c>
      <c r="Q22">
        <f t="shared" si="0"/>
        <v>0</v>
      </c>
      <c r="R22">
        <f>MEDIAN($P$1:P81)</f>
        <v>0</v>
      </c>
      <c r="S22" t="b">
        <f t="shared" si="5"/>
        <v>1</v>
      </c>
      <c r="T22" s="15">
        <f t="shared" si="6"/>
        <v>0</v>
      </c>
      <c r="U22" s="15">
        <f>AVERAGE(T$4:T52)</f>
        <v>0</v>
      </c>
      <c r="V22" s="15">
        <f>MIN(U$4:U62)</f>
        <v>0</v>
      </c>
      <c r="W22" t="b">
        <f t="shared" si="1"/>
        <v>1</v>
      </c>
      <c r="X22">
        <f t="shared" si="2"/>
        <v>1</v>
      </c>
      <c r="Y22">
        <f>SUM(X11:X22)</f>
        <v>12</v>
      </c>
      <c r="Z22">
        <f t="shared" si="7"/>
        <v>0</v>
      </c>
      <c r="AA22" t="str">
        <f t="shared" si="8"/>
        <v/>
      </c>
      <c r="AB22" t="str">
        <f t="shared" si="9"/>
        <v/>
      </c>
      <c r="AK22" s="19"/>
      <c r="AM22" s="4"/>
      <c r="AN22" s="4"/>
      <c r="AO22" s="4"/>
      <c r="AP22" s="15"/>
      <c r="AQ22" s="15"/>
      <c r="AR22" s="15"/>
      <c r="AS22" s="15"/>
      <c r="AT22" s="5"/>
      <c r="AU22" s="4"/>
      <c r="BE22" s="19">
        <f t="shared" si="13"/>
        <v>0.17916666666666661</v>
      </c>
      <c r="BF22" t="e">
        <f t="shared" ca="1" si="3"/>
        <v>#VALUE!</v>
      </c>
      <c r="BG22" t="e">
        <f t="shared" ca="1" si="10"/>
        <v>#VALUE!</v>
      </c>
    </row>
    <row r="23" spans="1:59" ht="12" customHeight="1" x14ac:dyDescent="0.2">
      <c r="A23" s="32" t="str">
        <f>LEFT('Input csv'!A120,10)</f>
        <v/>
      </c>
      <c r="B23" s="19" t="e">
        <f t="shared" si="11"/>
        <v>#VALUE!</v>
      </c>
      <c r="C23" s="3">
        <f>'Input csv'!B120</f>
        <v>0</v>
      </c>
      <c r="D23" s="3">
        <f>'Input csv'!C120</f>
        <v>0</v>
      </c>
      <c r="E23" s="3">
        <f>'Input csv'!D120</f>
        <v>0</v>
      </c>
      <c r="F23" s="4">
        <f>'Input csv'!E120</f>
        <v>0</v>
      </c>
      <c r="G23" s="4">
        <f>'Input csv'!F120</f>
        <v>0</v>
      </c>
      <c r="H23" s="5">
        <f>'Input csv'!G120</f>
        <v>0</v>
      </c>
      <c r="I23" s="4">
        <f>'Input csv'!H120</f>
        <v>0</v>
      </c>
      <c r="J23" s="4">
        <f>'Input csv'!I120</f>
        <v>0</v>
      </c>
      <c r="K23" s="4">
        <f>'Input csv'!J120</f>
        <v>0</v>
      </c>
      <c r="L23" s="4">
        <f>'Input csv'!K120</f>
        <v>0</v>
      </c>
      <c r="M23" s="4">
        <f>'Input csv'!L120</f>
        <v>0</v>
      </c>
      <c r="N23" s="11" t="str">
        <f>IF(W23=TRUE,"no wear",IF(S23=TRUE,"bed",IF(I23&gt;'Front Page'!$C$38,"vigorous",IF(I23&gt;'Front Page'!$C$37,"moderate",IF(I23&gt;'Front Page'!$C$36,"light","sedentary")))))</f>
        <v>no wear</v>
      </c>
      <c r="O23" s="13">
        <f t="shared" si="14"/>
        <v>0</v>
      </c>
      <c r="P23" s="4">
        <f t="shared" si="4"/>
        <v>0</v>
      </c>
      <c r="Q23">
        <f t="shared" si="0"/>
        <v>0</v>
      </c>
      <c r="R23">
        <f>MEDIAN($P$1:P82)</f>
        <v>0</v>
      </c>
      <c r="S23" t="b">
        <f t="shared" si="5"/>
        <v>1</v>
      </c>
      <c r="T23" s="15">
        <f t="shared" si="6"/>
        <v>0</v>
      </c>
      <c r="U23" s="15">
        <f>AVERAGE(T$4:T53)</f>
        <v>0</v>
      </c>
      <c r="V23" s="15">
        <f>MIN(U$4:U63)</f>
        <v>0</v>
      </c>
      <c r="W23" t="b">
        <f t="shared" si="1"/>
        <v>1</v>
      </c>
      <c r="X23">
        <f t="shared" si="2"/>
        <v>1</v>
      </c>
      <c r="Y23">
        <f t="shared" si="15"/>
        <v>12</v>
      </c>
      <c r="Z23">
        <f t="shared" si="7"/>
        <v>0</v>
      </c>
      <c r="AA23" t="str">
        <f t="shared" si="8"/>
        <v/>
      </c>
      <c r="AB23" t="str">
        <f t="shared" si="9"/>
        <v/>
      </c>
      <c r="AK23" s="19"/>
      <c r="AM23" s="4"/>
      <c r="AN23" s="4"/>
      <c r="AO23" s="4"/>
      <c r="AP23" s="15"/>
      <c r="AQ23" s="15"/>
      <c r="AR23" s="15"/>
      <c r="AS23" s="15"/>
      <c r="AT23" s="5"/>
      <c r="AU23" s="4"/>
      <c r="BE23" s="19">
        <f t="shared" si="13"/>
        <v>0.17986111111111105</v>
      </c>
      <c r="BF23" t="e">
        <f t="shared" ca="1" si="3"/>
        <v>#VALUE!</v>
      </c>
      <c r="BG23" t="e">
        <f t="shared" ca="1" si="10"/>
        <v>#VALUE!</v>
      </c>
    </row>
    <row r="24" spans="1:59" ht="12" customHeight="1" x14ac:dyDescent="0.2">
      <c r="A24" s="32" t="str">
        <f>LEFT('Input csv'!A121,10)</f>
        <v/>
      </c>
      <c r="B24" s="19" t="e">
        <f t="shared" si="11"/>
        <v>#VALUE!</v>
      </c>
      <c r="C24" s="3">
        <f>'Input csv'!B121</f>
        <v>0</v>
      </c>
      <c r="D24" s="3">
        <f>'Input csv'!C121</f>
        <v>0</v>
      </c>
      <c r="E24" s="3">
        <f>'Input csv'!D121</f>
        <v>0</v>
      </c>
      <c r="F24" s="4">
        <f>'Input csv'!E121</f>
        <v>0</v>
      </c>
      <c r="G24" s="4">
        <f>'Input csv'!F121</f>
        <v>0</v>
      </c>
      <c r="H24" s="5">
        <f>'Input csv'!G121</f>
        <v>0</v>
      </c>
      <c r="I24" s="4">
        <f>'Input csv'!H121</f>
        <v>0</v>
      </c>
      <c r="J24" s="4">
        <f>'Input csv'!I121</f>
        <v>0</v>
      </c>
      <c r="K24" s="4">
        <f>'Input csv'!J121</f>
        <v>0</v>
      </c>
      <c r="L24" s="4">
        <f>'Input csv'!K121</f>
        <v>0</v>
      </c>
      <c r="M24" s="4">
        <f>'Input csv'!L121</f>
        <v>0</v>
      </c>
      <c r="N24" s="11" t="str">
        <f>IF(W24=TRUE,"no wear",IF(S24=TRUE,"bed",IF(I24&gt;'Front Page'!$C$38,"vigorous",IF(I24&gt;'Front Page'!$C$37,"moderate",IF(I24&gt;'Front Page'!$C$36,"light","sedentary")))))</f>
        <v>no wear</v>
      </c>
      <c r="O24" s="13">
        <f t="shared" si="14"/>
        <v>0</v>
      </c>
      <c r="P24" s="4">
        <f t="shared" si="4"/>
        <v>0</v>
      </c>
      <c r="Q24">
        <f t="shared" si="0"/>
        <v>0</v>
      </c>
      <c r="R24">
        <f>MEDIAN($P$1:P83)</f>
        <v>0</v>
      </c>
      <c r="S24" t="b">
        <f t="shared" si="5"/>
        <v>1</v>
      </c>
      <c r="T24" s="15">
        <f t="shared" si="6"/>
        <v>0</v>
      </c>
      <c r="U24" s="15">
        <f>AVERAGE(T$4:T54)</f>
        <v>0</v>
      </c>
      <c r="V24" s="15">
        <f>MIN(U$4:U64)</f>
        <v>0</v>
      </c>
      <c r="W24" t="b">
        <f t="shared" si="1"/>
        <v>1</v>
      </c>
      <c r="X24">
        <f t="shared" si="2"/>
        <v>1</v>
      </c>
      <c r="Y24">
        <f t="shared" si="15"/>
        <v>12</v>
      </c>
      <c r="Z24">
        <f t="shared" si="7"/>
        <v>0</v>
      </c>
      <c r="AA24" t="str">
        <f t="shared" si="8"/>
        <v/>
      </c>
      <c r="AB24" t="str">
        <f t="shared" si="9"/>
        <v/>
      </c>
      <c r="AI24" s="15"/>
      <c r="AK24" s="19"/>
      <c r="AM24" s="4"/>
      <c r="AN24" s="4"/>
      <c r="AO24" s="4"/>
      <c r="AP24" s="15"/>
      <c r="AQ24" s="15"/>
      <c r="AR24" s="15"/>
      <c r="AS24" s="15"/>
      <c r="AT24" s="5"/>
      <c r="AU24" s="4"/>
      <c r="BE24" s="19">
        <f t="shared" si="13"/>
        <v>0.1805555555555555</v>
      </c>
      <c r="BF24" t="e">
        <f t="shared" ca="1" si="3"/>
        <v>#VALUE!</v>
      </c>
      <c r="BG24" t="e">
        <f t="shared" ca="1" si="10"/>
        <v>#VALUE!</v>
      </c>
    </row>
    <row r="25" spans="1:59" ht="12" customHeight="1" x14ac:dyDescent="0.2">
      <c r="A25" s="32" t="str">
        <f>LEFT('Input csv'!A122,10)</f>
        <v/>
      </c>
      <c r="B25" s="19" t="e">
        <f t="shared" si="11"/>
        <v>#VALUE!</v>
      </c>
      <c r="C25" s="3">
        <f>'Input csv'!B122</f>
        <v>0</v>
      </c>
      <c r="D25" s="3">
        <f>'Input csv'!C122</f>
        <v>0</v>
      </c>
      <c r="E25" s="3">
        <f>'Input csv'!D122</f>
        <v>0</v>
      </c>
      <c r="F25" s="4">
        <f>'Input csv'!E122</f>
        <v>0</v>
      </c>
      <c r="G25" s="4">
        <f>'Input csv'!F122</f>
        <v>0</v>
      </c>
      <c r="H25" s="5">
        <f>'Input csv'!G122</f>
        <v>0</v>
      </c>
      <c r="I25" s="4">
        <f>'Input csv'!H122</f>
        <v>0</v>
      </c>
      <c r="J25" s="4">
        <f>'Input csv'!I122</f>
        <v>0</v>
      </c>
      <c r="K25" s="4">
        <f>'Input csv'!J122</f>
        <v>0</v>
      </c>
      <c r="L25" s="4">
        <f>'Input csv'!K122</f>
        <v>0</v>
      </c>
      <c r="M25" s="4">
        <f>'Input csv'!L122</f>
        <v>0</v>
      </c>
      <c r="N25" s="11" t="str">
        <f>IF(W25=TRUE,"no wear",IF(S25=TRUE,"bed",IF(I25&gt;'Front Page'!$C$38,"vigorous",IF(I25&gt;'Front Page'!$C$37,"moderate",IF(I25&gt;'Front Page'!$C$36,"light","sedentary")))))</f>
        <v>no wear</v>
      </c>
      <c r="O25" s="13">
        <f t="shared" si="14"/>
        <v>0</v>
      </c>
      <c r="P25" s="4">
        <f t="shared" si="4"/>
        <v>0</v>
      </c>
      <c r="Q25">
        <f t="shared" si="0"/>
        <v>0</v>
      </c>
      <c r="R25">
        <f>MEDIAN($P$1:P84)</f>
        <v>0</v>
      </c>
      <c r="S25" t="b">
        <f t="shared" si="5"/>
        <v>1</v>
      </c>
      <c r="T25" s="15">
        <f t="shared" si="6"/>
        <v>0</v>
      </c>
      <c r="U25" s="15">
        <f>AVERAGE(T$4:T55)</f>
        <v>0</v>
      </c>
      <c r="V25" s="15">
        <f>MIN(U$4:U65)</f>
        <v>0</v>
      </c>
      <c r="W25" t="b">
        <f t="shared" si="1"/>
        <v>1</v>
      </c>
      <c r="X25">
        <f t="shared" si="2"/>
        <v>1</v>
      </c>
      <c r="Y25">
        <f t="shared" si="15"/>
        <v>12</v>
      </c>
      <c r="Z25">
        <f t="shared" si="7"/>
        <v>0</v>
      </c>
      <c r="AA25" t="str">
        <f t="shared" si="8"/>
        <v/>
      </c>
      <c r="AB25" t="str">
        <f t="shared" si="9"/>
        <v/>
      </c>
      <c r="AI25" s="15"/>
      <c r="AK25" s="19"/>
      <c r="AM25" s="4"/>
      <c r="AN25" s="4"/>
      <c r="AO25" s="4"/>
      <c r="AP25" s="15"/>
      <c r="AQ25" s="15"/>
      <c r="AR25" s="15"/>
      <c r="AS25" s="15"/>
      <c r="AT25" s="5"/>
      <c r="AU25" s="4"/>
      <c r="BE25" s="19">
        <f t="shared" si="13"/>
        <v>0.18124999999999994</v>
      </c>
      <c r="BF25" t="e">
        <f t="shared" ca="1" si="3"/>
        <v>#VALUE!</v>
      </c>
      <c r="BG25" t="e">
        <f t="shared" ca="1" si="10"/>
        <v>#VALUE!</v>
      </c>
    </row>
    <row r="26" spans="1:59" ht="12" customHeight="1" x14ac:dyDescent="0.2">
      <c r="A26" s="32" t="str">
        <f>LEFT('Input csv'!A123,10)</f>
        <v/>
      </c>
      <c r="B26" s="19" t="e">
        <f t="shared" si="11"/>
        <v>#VALUE!</v>
      </c>
      <c r="C26" s="3">
        <f>'Input csv'!B123</f>
        <v>0</v>
      </c>
      <c r="D26" s="3">
        <f>'Input csv'!C123</f>
        <v>0</v>
      </c>
      <c r="E26" s="3">
        <f>'Input csv'!D123</f>
        <v>0</v>
      </c>
      <c r="F26" s="4">
        <f>'Input csv'!E123</f>
        <v>0</v>
      </c>
      <c r="G26" s="4">
        <f>'Input csv'!F123</f>
        <v>0</v>
      </c>
      <c r="H26" s="5">
        <f>'Input csv'!G123</f>
        <v>0</v>
      </c>
      <c r="I26" s="4">
        <f>'Input csv'!H123</f>
        <v>0</v>
      </c>
      <c r="J26" s="4">
        <f>'Input csv'!I123</f>
        <v>0</v>
      </c>
      <c r="K26" s="4">
        <f>'Input csv'!J123</f>
        <v>0</v>
      </c>
      <c r="L26" s="4">
        <f>'Input csv'!K123</f>
        <v>0</v>
      </c>
      <c r="M26" s="4">
        <f>'Input csv'!L123</f>
        <v>0</v>
      </c>
      <c r="N26" s="11" t="str">
        <f>IF(W26=TRUE,"no wear",IF(S26=TRUE,"bed",IF(I26&gt;'Front Page'!$C$38,"vigorous",IF(I26&gt;'Front Page'!$C$37,"moderate",IF(I26&gt;'Front Page'!$C$36,"light","sedentary")))))</f>
        <v>no wear</v>
      </c>
      <c r="O26" s="13">
        <f t="shared" si="14"/>
        <v>0</v>
      </c>
      <c r="P26" s="4">
        <f t="shared" si="4"/>
        <v>0</v>
      </c>
      <c r="Q26">
        <f t="shared" si="0"/>
        <v>0</v>
      </c>
      <c r="R26">
        <f>MEDIAN($P$1:P85)</f>
        <v>0</v>
      </c>
      <c r="S26" t="b">
        <f t="shared" si="5"/>
        <v>1</v>
      </c>
      <c r="T26" s="15">
        <f t="shared" si="6"/>
        <v>0</v>
      </c>
      <c r="U26" s="15">
        <f>AVERAGE(T$4:T56)</f>
        <v>0</v>
      </c>
      <c r="V26" s="15">
        <f>MIN(U$4:U66)</f>
        <v>0</v>
      </c>
      <c r="W26" t="b">
        <f t="shared" si="1"/>
        <v>1</v>
      </c>
      <c r="X26">
        <f t="shared" si="2"/>
        <v>1</v>
      </c>
      <c r="Y26">
        <f t="shared" si="15"/>
        <v>12</v>
      </c>
      <c r="Z26">
        <f t="shared" si="7"/>
        <v>0</v>
      </c>
      <c r="AA26" t="str">
        <f t="shared" si="8"/>
        <v/>
      </c>
      <c r="AB26" t="str">
        <f t="shared" si="9"/>
        <v/>
      </c>
      <c r="AI26" s="15"/>
      <c r="AK26" s="19"/>
      <c r="AM26" s="4"/>
      <c r="AN26" s="4"/>
      <c r="AO26" s="4"/>
      <c r="AP26" s="15"/>
      <c r="AQ26" s="15"/>
      <c r="AR26" s="15"/>
      <c r="AS26" s="15"/>
      <c r="AT26" s="5"/>
      <c r="AU26" s="4"/>
      <c r="BE26" s="19">
        <f t="shared" si="13"/>
        <v>0.18194444444444438</v>
      </c>
      <c r="BF26" t="e">
        <f t="shared" ca="1" si="3"/>
        <v>#VALUE!</v>
      </c>
      <c r="BG26" t="e">
        <f t="shared" ca="1" si="10"/>
        <v>#VALUE!</v>
      </c>
    </row>
    <row r="27" spans="1:59" ht="12" customHeight="1" x14ac:dyDescent="0.2">
      <c r="A27" s="32" t="str">
        <f>LEFT('Input csv'!A124,10)</f>
        <v/>
      </c>
      <c r="B27" s="19" t="e">
        <f t="shared" si="11"/>
        <v>#VALUE!</v>
      </c>
      <c r="C27" s="3">
        <f>'Input csv'!B124</f>
        <v>0</v>
      </c>
      <c r="D27" s="3">
        <f>'Input csv'!C124</f>
        <v>0</v>
      </c>
      <c r="E27" s="3">
        <f>'Input csv'!D124</f>
        <v>0</v>
      </c>
      <c r="F27" s="4">
        <f>'Input csv'!E124</f>
        <v>0</v>
      </c>
      <c r="G27" s="4">
        <f>'Input csv'!F124</f>
        <v>0</v>
      </c>
      <c r="H27" s="5">
        <f>'Input csv'!G124</f>
        <v>0</v>
      </c>
      <c r="I27" s="4">
        <f>'Input csv'!H124</f>
        <v>0</v>
      </c>
      <c r="J27" s="4">
        <f>'Input csv'!I124</f>
        <v>0</v>
      </c>
      <c r="K27" s="4">
        <f>'Input csv'!J124</f>
        <v>0</v>
      </c>
      <c r="L27" s="4">
        <f>'Input csv'!K124</f>
        <v>0</v>
      </c>
      <c r="M27" s="4">
        <f>'Input csv'!L124</f>
        <v>0</v>
      </c>
      <c r="N27" s="11" t="str">
        <f>IF(W27=TRUE,"no wear",IF(S27=TRUE,"bed",IF(I27&gt;'Front Page'!$C$38,"vigorous",IF(I27&gt;'Front Page'!$C$37,"moderate",IF(I27&gt;'Front Page'!$C$36,"light","sedentary")))))</f>
        <v>no wear</v>
      </c>
      <c r="O27" s="13">
        <f t="shared" si="14"/>
        <v>0</v>
      </c>
      <c r="P27" s="4">
        <f t="shared" si="4"/>
        <v>0</v>
      </c>
      <c r="Q27">
        <f t="shared" si="0"/>
        <v>0</v>
      </c>
      <c r="R27">
        <f>MEDIAN($P$1:P86)</f>
        <v>0</v>
      </c>
      <c r="S27" t="b">
        <f t="shared" si="5"/>
        <v>1</v>
      </c>
      <c r="T27" s="15">
        <f t="shared" si="6"/>
        <v>0</v>
      </c>
      <c r="U27" s="15">
        <f>AVERAGE(T$4:T57)</f>
        <v>0</v>
      </c>
      <c r="V27" s="15">
        <f>MIN(U$4:U67)</f>
        <v>0</v>
      </c>
      <c r="W27" t="b">
        <f t="shared" si="1"/>
        <v>1</v>
      </c>
      <c r="X27">
        <f t="shared" si="2"/>
        <v>1</v>
      </c>
      <c r="Y27">
        <f t="shared" si="15"/>
        <v>12</v>
      </c>
      <c r="Z27">
        <f t="shared" si="7"/>
        <v>0</v>
      </c>
      <c r="AA27" t="str">
        <f t="shared" si="8"/>
        <v/>
      </c>
      <c r="AB27" t="str">
        <f t="shared" si="9"/>
        <v/>
      </c>
      <c r="AI27" s="15"/>
      <c r="AK27" s="19"/>
      <c r="AM27" s="4"/>
      <c r="AN27" s="4"/>
      <c r="AO27" s="67"/>
      <c r="AP27" s="15"/>
      <c r="AQ27" s="15"/>
      <c r="AR27" s="15"/>
      <c r="AS27" s="15"/>
      <c r="AT27" s="5"/>
      <c r="AU27" s="4"/>
      <c r="BE27" s="19">
        <f t="shared" si="13"/>
        <v>0.18263888888888882</v>
      </c>
      <c r="BF27" t="e">
        <f t="shared" ca="1" si="3"/>
        <v>#VALUE!</v>
      </c>
      <c r="BG27" t="e">
        <f t="shared" ca="1" si="10"/>
        <v>#VALUE!</v>
      </c>
    </row>
    <row r="28" spans="1:59" ht="12" customHeight="1" x14ac:dyDescent="0.2">
      <c r="A28" s="32" t="str">
        <f>LEFT('Input csv'!A125,10)</f>
        <v/>
      </c>
      <c r="B28" s="19" t="e">
        <f t="shared" si="11"/>
        <v>#VALUE!</v>
      </c>
      <c r="C28" s="3">
        <f>'Input csv'!B125</f>
        <v>0</v>
      </c>
      <c r="D28" s="3">
        <f>'Input csv'!C125</f>
        <v>0</v>
      </c>
      <c r="E28" s="3">
        <f>'Input csv'!D125</f>
        <v>0</v>
      </c>
      <c r="F28" s="4">
        <f>'Input csv'!E125</f>
        <v>0</v>
      </c>
      <c r="G28" s="4">
        <f>'Input csv'!F125</f>
        <v>0</v>
      </c>
      <c r="H28" s="5">
        <f>'Input csv'!G125</f>
        <v>0</v>
      </c>
      <c r="I28" s="4">
        <f>'Input csv'!H125</f>
        <v>0</v>
      </c>
      <c r="J28" s="4">
        <f>'Input csv'!I125</f>
        <v>0</v>
      </c>
      <c r="K28" s="4">
        <f>'Input csv'!J125</f>
        <v>0</v>
      </c>
      <c r="L28" s="4">
        <f>'Input csv'!K125</f>
        <v>0</v>
      </c>
      <c r="M28" s="4">
        <f>'Input csv'!L125</f>
        <v>0</v>
      </c>
      <c r="N28" s="11" t="str">
        <f>IF(W28=TRUE,"no wear",IF(S28=TRUE,"bed",IF(I28&gt;'Front Page'!$C$38,"vigorous",IF(I28&gt;'Front Page'!$C$37,"moderate",IF(I28&gt;'Front Page'!$C$36,"light","sedentary")))))</f>
        <v>no wear</v>
      </c>
      <c r="O28" s="13">
        <f t="shared" si="14"/>
        <v>0</v>
      </c>
      <c r="P28" s="4">
        <f t="shared" si="4"/>
        <v>0</v>
      </c>
      <c r="Q28">
        <f t="shared" si="0"/>
        <v>0</v>
      </c>
      <c r="R28">
        <f>MEDIAN($P$1:P87)</f>
        <v>0</v>
      </c>
      <c r="S28" t="b">
        <f t="shared" si="5"/>
        <v>1</v>
      </c>
      <c r="T28" s="15">
        <f t="shared" si="6"/>
        <v>0</v>
      </c>
      <c r="U28" s="15">
        <f>AVERAGE(T$4:T58)</f>
        <v>0</v>
      </c>
      <c r="V28" s="15">
        <f>MIN(U$4:U68)</f>
        <v>0</v>
      </c>
      <c r="W28" t="b">
        <f t="shared" si="1"/>
        <v>1</v>
      </c>
      <c r="X28">
        <f t="shared" si="2"/>
        <v>1</v>
      </c>
      <c r="Y28">
        <f t="shared" si="15"/>
        <v>12</v>
      </c>
      <c r="Z28">
        <f t="shared" si="7"/>
        <v>0</v>
      </c>
      <c r="AA28" t="str">
        <f t="shared" si="8"/>
        <v/>
      </c>
      <c r="AB28" t="str">
        <f t="shared" si="9"/>
        <v/>
      </c>
      <c r="AI28" s="15"/>
      <c r="AK28" s="19"/>
      <c r="AM28" s="4"/>
      <c r="AN28" s="4"/>
      <c r="AO28" s="4"/>
      <c r="AP28" s="15"/>
      <c r="AQ28" s="15"/>
      <c r="AR28" s="15"/>
      <c r="AS28" s="15"/>
      <c r="AT28" s="5"/>
      <c r="AU28" s="4"/>
      <c r="BE28" s="19">
        <f t="shared" si="13"/>
        <v>0.18333333333333326</v>
      </c>
      <c r="BF28" t="e">
        <f t="shared" ca="1" si="3"/>
        <v>#VALUE!</v>
      </c>
      <c r="BG28" t="e">
        <f t="shared" ca="1" si="10"/>
        <v>#VALUE!</v>
      </c>
    </row>
    <row r="29" spans="1:59" ht="12" customHeight="1" x14ac:dyDescent="0.2">
      <c r="A29" s="32" t="str">
        <f>LEFT('Input csv'!A126,10)</f>
        <v/>
      </c>
      <c r="B29" s="19" t="e">
        <f t="shared" si="11"/>
        <v>#VALUE!</v>
      </c>
      <c r="C29" s="3">
        <f>'Input csv'!B126</f>
        <v>0</v>
      </c>
      <c r="D29" s="3">
        <f>'Input csv'!C126</f>
        <v>0</v>
      </c>
      <c r="E29" s="3">
        <f>'Input csv'!D126</f>
        <v>0</v>
      </c>
      <c r="F29" s="4">
        <f>'Input csv'!E126</f>
        <v>0</v>
      </c>
      <c r="G29" s="4">
        <f>'Input csv'!F126</f>
        <v>0</v>
      </c>
      <c r="H29" s="5">
        <f>'Input csv'!G126</f>
        <v>0</v>
      </c>
      <c r="I29" s="4">
        <f>'Input csv'!H126</f>
        <v>0</v>
      </c>
      <c r="J29" s="4">
        <f>'Input csv'!I126</f>
        <v>0</v>
      </c>
      <c r="K29" s="4">
        <f>'Input csv'!J126</f>
        <v>0</v>
      </c>
      <c r="L29" s="4">
        <f>'Input csv'!K126</f>
        <v>0</v>
      </c>
      <c r="M29" s="4">
        <f>'Input csv'!L126</f>
        <v>0</v>
      </c>
      <c r="N29" s="11" t="str">
        <f>IF(W29=TRUE,"no wear",IF(S29=TRUE,"bed",IF(I29&gt;'Front Page'!$C$38,"vigorous",IF(I29&gt;'Front Page'!$C$37,"moderate",IF(I29&gt;'Front Page'!$C$36,"light","sedentary")))))</f>
        <v>no wear</v>
      </c>
      <c r="O29" s="13">
        <f t="shared" si="14"/>
        <v>0</v>
      </c>
      <c r="P29" s="4">
        <f t="shared" si="4"/>
        <v>0</v>
      </c>
      <c r="Q29">
        <f t="shared" si="0"/>
        <v>0</v>
      </c>
      <c r="R29">
        <f>MEDIAN($P$1:P88)</f>
        <v>0</v>
      </c>
      <c r="S29" t="b">
        <f t="shared" si="5"/>
        <v>1</v>
      </c>
      <c r="T29" s="15">
        <f t="shared" si="6"/>
        <v>0</v>
      </c>
      <c r="U29" s="15">
        <f>AVERAGE(T$4:T59)</f>
        <v>0</v>
      </c>
      <c r="V29" s="15">
        <f>MIN(U$4:U69)</f>
        <v>0</v>
      </c>
      <c r="W29" t="b">
        <f t="shared" si="1"/>
        <v>1</v>
      </c>
      <c r="X29">
        <f t="shared" si="2"/>
        <v>1</v>
      </c>
      <c r="Y29">
        <f t="shared" si="15"/>
        <v>12</v>
      </c>
      <c r="Z29">
        <f t="shared" si="7"/>
        <v>0</v>
      </c>
      <c r="AA29" t="str">
        <f t="shared" si="8"/>
        <v/>
      </c>
      <c r="AB29" t="str">
        <f t="shared" si="9"/>
        <v/>
      </c>
      <c r="AI29" s="15"/>
      <c r="AK29" s="19"/>
      <c r="AM29" s="4"/>
      <c r="AN29" s="4"/>
      <c r="AO29" s="4"/>
      <c r="AP29" s="15"/>
      <c r="AQ29" s="15"/>
      <c r="AR29" s="15"/>
      <c r="AS29" s="15"/>
      <c r="AT29" s="5"/>
      <c r="AU29" s="4"/>
      <c r="BE29" s="19">
        <f t="shared" si="13"/>
        <v>0.18402777777777771</v>
      </c>
      <c r="BF29" t="e">
        <f t="shared" ca="1" si="3"/>
        <v>#VALUE!</v>
      </c>
      <c r="BG29" t="e">
        <f t="shared" ca="1" si="10"/>
        <v>#VALUE!</v>
      </c>
    </row>
    <row r="30" spans="1:59" ht="12" customHeight="1" x14ac:dyDescent="0.2">
      <c r="A30" s="32" t="str">
        <f>LEFT('Input csv'!A127,10)</f>
        <v/>
      </c>
      <c r="B30" s="19" t="e">
        <f t="shared" si="11"/>
        <v>#VALUE!</v>
      </c>
      <c r="C30" s="3">
        <f>'Input csv'!B127</f>
        <v>0</v>
      </c>
      <c r="D30" s="3">
        <f>'Input csv'!C127</f>
        <v>0</v>
      </c>
      <c r="E30" s="3">
        <f>'Input csv'!D127</f>
        <v>0</v>
      </c>
      <c r="F30" s="4">
        <f>'Input csv'!E127</f>
        <v>0</v>
      </c>
      <c r="G30" s="4">
        <f>'Input csv'!F127</f>
        <v>0</v>
      </c>
      <c r="H30" s="5">
        <f>'Input csv'!G127</f>
        <v>0</v>
      </c>
      <c r="I30" s="4">
        <f>'Input csv'!H127</f>
        <v>0</v>
      </c>
      <c r="J30" s="4">
        <f>'Input csv'!I127</f>
        <v>0</v>
      </c>
      <c r="K30" s="4">
        <f>'Input csv'!J127</f>
        <v>0</v>
      </c>
      <c r="L30" s="4">
        <f>'Input csv'!K127</f>
        <v>0</v>
      </c>
      <c r="M30" s="4">
        <f>'Input csv'!L127</f>
        <v>0</v>
      </c>
      <c r="N30" s="11" t="str">
        <f>IF(W30=TRUE,"no wear",IF(S30=TRUE,"bed",IF(I30&gt;'Front Page'!$C$38,"vigorous",IF(I30&gt;'Front Page'!$C$37,"moderate",IF(I30&gt;'Front Page'!$C$36,"light","sedentary")))))</f>
        <v>no wear</v>
      </c>
      <c r="O30" s="13">
        <f t="shared" si="14"/>
        <v>0</v>
      </c>
      <c r="P30" s="4">
        <f t="shared" si="4"/>
        <v>0</v>
      </c>
      <c r="Q30">
        <f t="shared" si="0"/>
        <v>0</v>
      </c>
      <c r="R30">
        <f>MEDIAN($P$1:P89)</f>
        <v>0</v>
      </c>
      <c r="S30" t="b">
        <f t="shared" si="5"/>
        <v>1</v>
      </c>
      <c r="T30" s="15">
        <f t="shared" si="6"/>
        <v>0</v>
      </c>
      <c r="U30" s="15">
        <f>AVERAGE(T$4:T60)</f>
        <v>0</v>
      </c>
      <c r="V30" s="15">
        <f>MIN(U$4:U70)</f>
        <v>0</v>
      </c>
      <c r="W30" t="b">
        <f t="shared" si="1"/>
        <v>1</v>
      </c>
      <c r="X30">
        <f t="shared" si="2"/>
        <v>1</v>
      </c>
      <c r="Y30">
        <f t="shared" si="15"/>
        <v>12</v>
      </c>
      <c r="Z30">
        <f t="shared" si="7"/>
        <v>0</v>
      </c>
      <c r="AA30" t="str">
        <f t="shared" si="8"/>
        <v/>
      </c>
      <c r="AB30" t="str">
        <f t="shared" si="9"/>
        <v/>
      </c>
      <c r="AI30" s="15"/>
      <c r="AK30" s="19"/>
      <c r="AM30" s="4"/>
      <c r="AN30" s="4"/>
      <c r="AO30" s="4"/>
      <c r="AP30" s="15"/>
      <c r="AQ30" s="15"/>
      <c r="AR30" s="15"/>
      <c r="AS30" s="15"/>
      <c r="AT30" s="5"/>
      <c r="AU30" s="4"/>
      <c r="BE30" s="19">
        <f t="shared" si="13"/>
        <v>0.18472222222222215</v>
      </c>
      <c r="BF30" t="e">
        <f t="shared" ca="1" si="3"/>
        <v>#VALUE!</v>
      </c>
      <c r="BG30" t="e">
        <f t="shared" ca="1" si="10"/>
        <v>#VALUE!</v>
      </c>
    </row>
    <row r="31" spans="1:59" ht="12" customHeight="1" x14ac:dyDescent="0.2">
      <c r="A31" s="32" t="str">
        <f>LEFT('Input csv'!A128,10)</f>
        <v/>
      </c>
      <c r="B31" s="19" t="e">
        <f t="shared" si="11"/>
        <v>#VALUE!</v>
      </c>
      <c r="C31" s="3">
        <f>'Input csv'!B128</f>
        <v>0</v>
      </c>
      <c r="D31" s="3">
        <f>'Input csv'!C128</f>
        <v>0</v>
      </c>
      <c r="E31" s="3">
        <f>'Input csv'!D128</f>
        <v>0</v>
      </c>
      <c r="F31" s="4">
        <f>'Input csv'!E128</f>
        <v>0</v>
      </c>
      <c r="G31" s="4">
        <f>'Input csv'!F128</f>
        <v>0</v>
      </c>
      <c r="H31" s="5">
        <f>'Input csv'!G128</f>
        <v>0</v>
      </c>
      <c r="I31" s="4">
        <f>'Input csv'!H128</f>
        <v>0</v>
      </c>
      <c r="J31" s="4">
        <f>'Input csv'!I128</f>
        <v>0</v>
      </c>
      <c r="K31" s="4">
        <f>'Input csv'!J128</f>
        <v>0</v>
      </c>
      <c r="L31" s="4">
        <f>'Input csv'!K128</f>
        <v>0</v>
      </c>
      <c r="M31" s="4">
        <f>'Input csv'!L128</f>
        <v>0</v>
      </c>
      <c r="N31" s="11" t="str">
        <f>IF(W31=TRUE,"no wear",IF(S31=TRUE,"bed",IF(I31&gt;'Front Page'!$C$38,"vigorous",IF(I31&gt;'Front Page'!$C$37,"moderate",IF(I31&gt;'Front Page'!$C$36,"light","sedentary")))))</f>
        <v>no wear</v>
      </c>
      <c r="O31" s="13">
        <f t="shared" si="14"/>
        <v>0</v>
      </c>
      <c r="P31" s="4">
        <f t="shared" si="4"/>
        <v>0</v>
      </c>
      <c r="Q31">
        <f t="shared" si="0"/>
        <v>0</v>
      </c>
      <c r="R31">
        <f>MEDIAN($P$1:P90)</f>
        <v>0</v>
      </c>
      <c r="S31" t="b">
        <f t="shared" si="5"/>
        <v>1</v>
      </c>
      <c r="T31" s="15">
        <f t="shared" si="6"/>
        <v>0</v>
      </c>
      <c r="U31" s="15">
        <f>AVERAGE(T$4:T61)</f>
        <v>0</v>
      </c>
      <c r="V31" s="15">
        <f>MIN(U$4:U71)</f>
        <v>0</v>
      </c>
      <c r="W31" t="b">
        <f t="shared" si="1"/>
        <v>1</v>
      </c>
      <c r="X31">
        <f t="shared" si="2"/>
        <v>1</v>
      </c>
      <c r="Y31">
        <f t="shared" si="15"/>
        <v>12</v>
      </c>
      <c r="Z31">
        <f t="shared" si="7"/>
        <v>0</v>
      </c>
      <c r="AA31" t="str">
        <f t="shared" si="8"/>
        <v/>
      </c>
      <c r="AB31" t="str">
        <f t="shared" si="9"/>
        <v/>
      </c>
      <c r="AI31" s="15"/>
      <c r="AK31" s="19"/>
      <c r="AM31" s="4"/>
      <c r="AN31" s="4"/>
      <c r="AO31" s="4"/>
      <c r="AP31" s="15"/>
      <c r="AQ31" s="15"/>
      <c r="AR31" s="15"/>
      <c r="AS31" s="15"/>
      <c r="AT31" s="5"/>
      <c r="AU31" s="4"/>
      <c r="BE31" s="19">
        <f t="shared" si="13"/>
        <v>0.18541666666666659</v>
      </c>
      <c r="BF31" t="e">
        <f t="shared" ca="1" si="3"/>
        <v>#VALUE!</v>
      </c>
      <c r="BG31" t="e">
        <f t="shared" ca="1" si="10"/>
        <v>#VALUE!</v>
      </c>
    </row>
    <row r="32" spans="1:59" ht="12" customHeight="1" x14ac:dyDescent="0.2">
      <c r="A32" s="32" t="str">
        <f>LEFT('Input csv'!A129,10)</f>
        <v/>
      </c>
      <c r="B32" s="19" t="e">
        <f t="shared" si="11"/>
        <v>#VALUE!</v>
      </c>
      <c r="C32" s="3">
        <f>'Input csv'!B129</f>
        <v>0</v>
      </c>
      <c r="D32" s="3">
        <f>'Input csv'!C129</f>
        <v>0</v>
      </c>
      <c r="E32" s="3">
        <f>'Input csv'!D129</f>
        <v>0</v>
      </c>
      <c r="F32" s="4">
        <f>'Input csv'!E129</f>
        <v>0</v>
      </c>
      <c r="G32" s="4">
        <f>'Input csv'!F129</f>
        <v>0</v>
      </c>
      <c r="H32" s="5">
        <f>'Input csv'!G129</f>
        <v>0</v>
      </c>
      <c r="I32" s="4">
        <f>'Input csv'!H129</f>
        <v>0</v>
      </c>
      <c r="J32" s="4">
        <f>'Input csv'!I129</f>
        <v>0</v>
      </c>
      <c r="K32" s="4">
        <f>'Input csv'!J129</f>
        <v>0</v>
      </c>
      <c r="L32" s="4">
        <f>'Input csv'!K129</f>
        <v>0</v>
      </c>
      <c r="M32" s="4">
        <f>'Input csv'!L129</f>
        <v>0</v>
      </c>
      <c r="N32" s="11" t="str">
        <f>IF(W32=TRUE,"no wear",IF(S32=TRUE,"bed",IF(I32&gt;'Front Page'!$C$38,"vigorous",IF(I32&gt;'Front Page'!$C$37,"moderate",IF(I32&gt;'Front Page'!$C$36,"light","sedentary")))))</f>
        <v>no wear</v>
      </c>
      <c r="O32" s="13">
        <f t="shared" si="14"/>
        <v>0</v>
      </c>
      <c r="P32" s="4">
        <f t="shared" si="4"/>
        <v>0</v>
      </c>
      <c r="Q32">
        <f t="shared" si="0"/>
        <v>0</v>
      </c>
      <c r="R32">
        <f>MEDIAN($P$1:P91)</f>
        <v>0</v>
      </c>
      <c r="S32" t="b">
        <f t="shared" si="5"/>
        <v>1</v>
      </c>
      <c r="T32" s="15">
        <f t="shared" si="6"/>
        <v>0</v>
      </c>
      <c r="U32" s="15">
        <f>AVERAGE(T$4:T62)</f>
        <v>0</v>
      </c>
      <c r="V32" s="15">
        <f>MIN(U$4:U72)</f>
        <v>0</v>
      </c>
      <c r="W32" t="b">
        <f t="shared" si="1"/>
        <v>1</v>
      </c>
      <c r="X32">
        <f t="shared" si="2"/>
        <v>1</v>
      </c>
      <c r="Y32">
        <f t="shared" si="15"/>
        <v>12</v>
      </c>
      <c r="Z32">
        <f t="shared" si="7"/>
        <v>0</v>
      </c>
      <c r="AA32" t="str">
        <f t="shared" si="8"/>
        <v/>
      </c>
      <c r="AB32" t="str">
        <f t="shared" si="9"/>
        <v/>
      </c>
      <c r="AI32" s="15"/>
      <c r="AK32" s="19"/>
      <c r="AL32" s="4"/>
      <c r="AM32" s="4"/>
      <c r="AN32" s="4"/>
      <c r="AO32" s="4"/>
      <c r="AP32" s="15"/>
      <c r="AQ32" s="15"/>
      <c r="AR32" s="15"/>
      <c r="AS32" s="15"/>
      <c r="AT32" s="5"/>
      <c r="AU32" s="4"/>
      <c r="BE32" s="19">
        <f t="shared" si="13"/>
        <v>0.18611111111111103</v>
      </c>
      <c r="BF32" t="e">
        <f t="shared" ca="1" si="3"/>
        <v>#VALUE!</v>
      </c>
      <c r="BG32" t="e">
        <f t="shared" ca="1" si="10"/>
        <v>#VALUE!</v>
      </c>
    </row>
    <row r="33" spans="1:59" ht="12" customHeight="1" x14ac:dyDescent="0.2">
      <c r="A33" s="32" t="str">
        <f>LEFT('Input csv'!A130,10)</f>
        <v/>
      </c>
      <c r="B33" s="19" t="e">
        <f t="shared" si="11"/>
        <v>#VALUE!</v>
      </c>
      <c r="C33" s="3">
        <f>'Input csv'!B130</f>
        <v>0</v>
      </c>
      <c r="D33" s="3">
        <f>'Input csv'!C130</f>
        <v>0</v>
      </c>
      <c r="E33" s="3">
        <f>'Input csv'!D130</f>
        <v>0</v>
      </c>
      <c r="F33" s="4">
        <f>'Input csv'!E130</f>
        <v>0</v>
      </c>
      <c r="G33" s="4">
        <f>'Input csv'!F130</f>
        <v>0</v>
      </c>
      <c r="H33" s="5">
        <f>'Input csv'!G130</f>
        <v>0</v>
      </c>
      <c r="I33" s="4">
        <f>'Input csv'!H130</f>
        <v>0</v>
      </c>
      <c r="J33" s="4">
        <f>'Input csv'!I130</f>
        <v>0</v>
      </c>
      <c r="K33" s="4">
        <f>'Input csv'!J130</f>
        <v>0</v>
      </c>
      <c r="L33" s="4">
        <f>'Input csv'!K130</f>
        <v>0</v>
      </c>
      <c r="M33" s="4">
        <f>'Input csv'!L130</f>
        <v>0</v>
      </c>
      <c r="N33" s="11" t="str">
        <f>IF(W33=TRUE,"no wear",IF(S33=TRUE,"bed",IF(I33&gt;'Front Page'!$C$38,"vigorous",IF(I33&gt;'Front Page'!$C$37,"moderate",IF(I33&gt;'Front Page'!$C$36,"light","sedentary")))))</f>
        <v>no wear</v>
      </c>
      <c r="O33" s="13">
        <f t="shared" si="14"/>
        <v>0</v>
      </c>
      <c r="P33" s="4">
        <f t="shared" si="4"/>
        <v>0</v>
      </c>
      <c r="Q33">
        <f t="shared" si="0"/>
        <v>0</v>
      </c>
      <c r="R33">
        <f>MEDIAN($P$1:P92)</f>
        <v>0</v>
      </c>
      <c r="S33" t="b">
        <f t="shared" si="5"/>
        <v>1</v>
      </c>
      <c r="T33" s="15">
        <f t="shared" si="6"/>
        <v>0</v>
      </c>
      <c r="U33" s="15">
        <f>AVERAGE(T4:T63)</f>
        <v>0</v>
      </c>
      <c r="V33" s="15">
        <f>MIN(U$4:U73)</f>
        <v>0</v>
      </c>
      <c r="W33" t="b">
        <f t="shared" si="1"/>
        <v>1</v>
      </c>
      <c r="X33">
        <f t="shared" si="2"/>
        <v>1</v>
      </c>
      <c r="Y33">
        <f t="shared" si="15"/>
        <v>12</v>
      </c>
      <c r="Z33">
        <f t="shared" si="7"/>
        <v>0</v>
      </c>
      <c r="AA33" t="str">
        <f t="shared" si="8"/>
        <v/>
      </c>
      <c r="AB33" t="str">
        <f t="shared" si="9"/>
        <v/>
      </c>
      <c r="AI33" s="15"/>
      <c r="AK33" s="19"/>
      <c r="AL33" s="4"/>
      <c r="AM33" s="4"/>
      <c r="AN33" s="4"/>
      <c r="AO33" s="4"/>
      <c r="AP33" s="15"/>
      <c r="AQ33" s="15"/>
      <c r="AR33" s="15"/>
      <c r="AS33" s="15"/>
      <c r="AT33" s="5"/>
      <c r="AU33" s="4"/>
      <c r="BE33" s="19">
        <f t="shared" si="13"/>
        <v>0.18680555555555547</v>
      </c>
      <c r="BF33" t="e">
        <f t="shared" ca="1" si="3"/>
        <v>#VALUE!</v>
      </c>
      <c r="BG33" t="e">
        <f t="shared" ca="1" si="10"/>
        <v>#VALUE!</v>
      </c>
    </row>
    <row r="34" spans="1:59" ht="12" customHeight="1" x14ac:dyDescent="0.2">
      <c r="A34" s="32" t="str">
        <f>LEFT('Input csv'!A131,10)</f>
        <v/>
      </c>
      <c r="B34" s="19" t="e">
        <f t="shared" si="11"/>
        <v>#VALUE!</v>
      </c>
      <c r="C34" s="3">
        <f>'Input csv'!B131</f>
        <v>0</v>
      </c>
      <c r="D34" s="3">
        <f>'Input csv'!C131</f>
        <v>0</v>
      </c>
      <c r="E34" s="3">
        <f>'Input csv'!D131</f>
        <v>0</v>
      </c>
      <c r="F34" s="4">
        <f>'Input csv'!E131</f>
        <v>0</v>
      </c>
      <c r="G34" s="4">
        <f>'Input csv'!F131</f>
        <v>0</v>
      </c>
      <c r="H34" s="5">
        <f>'Input csv'!G131</f>
        <v>0</v>
      </c>
      <c r="I34" s="4">
        <f>'Input csv'!H131</f>
        <v>0</v>
      </c>
      <c r="J34" s="4">
        <f>'Input csv'!I131</f>
        <v>0</v>
      </c>
      <c r="K34" s="4">
        <f>'Input csv'!J131</f>
        <v>0</v>
      </c>
      <c r="L34" s="4">
        <f>'Input csv'!K131</f>
        <v>0</v>
      </c>
      <c r="M34" s="4">
        <f>'Input csv'!L131</f>
        <v>0</v>
      </c>
      <c r="N34" s="11" t="str">
        <f>IF(W34=TRUE,"no wear",IF(S34=TRUE,"bed",IF(I34&gt;'Front Page'!$C$38,"vigorous",IF(I34&gt;'Front Page'!$C$37,"moderate",IF(I34&gt;'Front Page'!$C$36,"light","sedentary")))))</f>
        <v>no wear</v>
      </c>
      <c r="O34" s="13">
        <f t="shared" ref="O34:O65" si="16">SQRT(ABS(C33-C34+D33-D34+E33-E34))</f>
        <v>0</v>
      </c>
      <c r="P34" s="4">
        <f t="shared" si="4"/>
        <v>0</v>
      </c>
      <c r="Q34">
        <f t="shared" si="0"/>
        <v>0</v>
      </c>
      <c r="R34">
        <f>MEDIAN($P$1:P93)</f>
        <v>0</v>
      </c>
      <c r="S34" t="b">
        <f t="shared" si="5"/>
        <v>1</v>
      </c>
      <c r="T34" s="15">
        <f t="shared" si="6"/>
        <v>0</v>
      </c>
      <c r="U34" s="15">
        <f t="shared" ref="U34:U65" si="17">AVERAGE(T5:T64)</f>
        <v>0</v>
      </c>
      <c r="V34" s="15">
        <f>MIN(U$4:U74)</f>
        <v>0</v>
      </c>
      <c r="W34" t="b">
        <f t="shared" si="1"/>
        <v>1</v>
      </c>
      <c r="X34">
        <f t="shared" si="2"/>
        <v>1</v>
      </c>
      <c r="Y34">
        <f t="shared" si="15"/>
        <v>12</v>
      </c>
      <c r="Z34">
        <f t="shared" si="7"/>
        <v>0</v>
      </c>
      <c r="AA34" t="str">
        <f t="shared" si="8"/>
        <v/>
      </c>
      <c r="AB34" t="str">
        <f t="shared" si="9"/>
        <v/>
      </c>
      <c r="AI34" s="15"/>
      <c r="BE34" s="19">
        <f t="shared" si="13"/>
        <v>0.18749999999999992</v>
      </c>
      <c r="BF34" t="e">
        <f t="shared" ca="1" si="3"/>
        <v>#VALUE!</v>
      </c>
      <c r="BG34" t="e">
        <f t="shared" ca="1" si="10"/>
        <v>#VALUE!</v>
      </c>
    </row>
    <row r="35" spans="1:59" ht="12" customHeight="1" x14ac:dyDescent="0.2">
      <c r="A35" s="32" t="str">
        <f>LEFT('Input csv'!A132,10)</f>
        <v/>
      </c>
      <c r="B35" s="19" t="e">
        <f t="shared" si="11"/>
        <v>#VALUE!</v>
      </c>
      <c r="C35" s="3">
        <f>'Input csv'!B132</f>
        <v>0</v>
      </c>
      <c r="D35" s="3">
        <f>'Input csv'!C132</f>
        <v>0</v>
      </c>
      <c r="E35" s="3">
        <f>'Input csv'!D132</f>
        <v>0</v>
      </c>
      <c r="F35" s="4">
        <f>'Input csv'!E132</f>
        <v>0</v>
      </c>
      <c r="G35" s="4">
        <f>'Input csv'!F132</f>
        <v>0</v>
      </c>
      <c r="H35" s="5">
        <f>'Input csv'!G132</f>
        <v>0</v>
      </c>
      <c r="I35" s="4">
        <f>'Input csv'!H132</f>
        <v>0</v>
      </c>
      <c r="J35" s="4">
        <f>'Input csv'!I132</f>
        <v>0</v>
      </c>
      <c r="K35" s="4">
        <f>'Input csv'!J132</f>
        <v>0</v>
      </c>
      <c r="L35" s="4">
        <f>'Input csv'!K132</f>
        <v>0</v>
      </c>
      <c r="M35" s="4">
        <f>'Input csv'!L132</f>
        <v>0</v>
      </c>
      <c r="N35" s="11" t="str">
        <f>IF(W35=TRUE,"no wear",IF(S35=TRUE,"bed",IF(I35&gt;'Front Page'!$C$38,"vigorous",IF(I35&gt;'Front Page'!$C$37,"moderate",IF(I35&gt;'Front Page'!$C$36,"light","sedentary")))))</f>
        <v>no wear</v>
      </c>
      <c r="O35" s="13">
        <f t="shared" si="16"/>
        <v>0</v>
      </c>
      <c r="P35" s="4">
        <f t="shared" si="4"/>
        <v>0</v>
      </c>
      <c r="Q35">
        <f t="shared" si="0"/>
        <v>0</v>
      </c>
      <c r="R35">
        <f>MEDIAN($P$1:P94)</f>
        <v>0</v>
      </c>
      <c r="S35" t="b">
        <f t="shared" si="5"/>
        <v>1</v>
      </c>
      <c r="T35" s="15">
        <f t="shared" si="6"/>
        <v>0</v>
      </c>
      <c r="U35" s="15">
        <f t="shared" si="17"/>
        <v>0</v>
      </c>
      <c r="V35" s="15">
        <f>MIN(U$4:U75)</f>
        <v>0</v>
      </c>
      <c r="W35" t="b">
        <f t="shared" si="1"/>
        <v>1</v>
      </c>
      <c r="X35">
        <f t="shared" si="2"/>
        <v>1</v>
      </c>
      <c r="Y35">
        <f t="shared" si="15"/>
        <v>12</v>
      </c>
      <c r="Z35">
        <f t="shared" si="7"/>
        <v>0</v>
      </c>
      <c r="AA35" t="str">
        <f t="shared" si="8"/>
        <v/>
      </c>
      <c r="AB35" t="str">
        <f t="shared" si="9"/>
        <v/>
      </c>
      <c r="AI35" s="15"/>
      <c r="BE35" s="19">
        <f t="shared" si="13"/>
        <v>0.18819444444444436</v>
      </c>
      <c r="BF35" t="e">
        <f t="shared" ca="1" si="3"/>
        <v>#VALUE!</v>
      </c>
      <c r="BG35" t="e">
        <f t="shared" ca="1" si="10"/>
        <v>#VALUE!</v>
      </c>
    </row>
    <row r="36" spans="1:59" ht="12" customHeight="1" x14ac:dyDescent="0.2">
      <c r="A36" s="32" t="str">
        <f>LEFT('Input csv'!A133,10)</f>
        <v/>
      </c>
      <c r="B36" s="19" t="e">
        <f t="shared" si="11"/>
        <v>#VALUE!</v>
      </c>
      <c r="C36" s="3">
        <f>'Input csv'!B133</f>
        <v>0</v>
      </c>
      <c r="D36" s="3">
        <f>'Input csv'!C133</f>
        <v>0</v>
      </c>
      <c r="E36" s="3">
        <f>'Input csv'!D133</f>
        <v>0</v>
      </c>
      <c r="F36" s="4">
        <f>'Input csv'!E133</f>
        <v>0</v>
      </c>
      <c r="G36" s="4">
        <f>'Input csv'!F133</f>
        <v>0</v>
      </c>
      <c r="H36" s="5">
        <f>'Input csv'!G133</f>
        <v>0</v>
      </c>
      <c r="I36" s="4">
        <f>'Input csv'!H133</f>
        <v>0</v>
      </c>
      <c r="J36" s="4">
        <f>'Input csv'!I133</f>
        <v>0</v>
      </c>
      <c r="K36" s="4">
        <f>'Input csv'!J133</f>
        <v>0</v>
      </c>
      <c r="L36" s="4">
        <f>'Input csv'!K133</f>
        <v>0</v>
      </c>
      <c r="M36" s="4">
        <f>'Input csv'!L133</f>
        <v>0</v>
      </c>
      <c r="N36" s="11" t="str">
        <f>IF(W36=TRUE,"no wear",IF(S36=TRUE,"bed",IF(I36&gt;'Front Page'!$C$38,"vigorous",IF(I36&gt;'Front Page'!$C$37,"moderate",IF(I36&gt;'Front Page'!$C$36,"light","sedentary")))))</f>
        <v>no wear</v>
      </c>
      <c r="O36" s="13">
        <f t="shared" si="16"/>
        <v>0</v>
      </c>
      <c r="P36" s="4">
        <f t="shared" si="4"/>
        <v>0</v>
      </c>
      <c r="Q36">
        <f t="shared" ref="Q36:Q65" si="18">(O36*I36)*(100/frequency)</f>
        <v>0</v>
      </c>
      <c r="R36">
        <f>MEDIAN($P$1:P95)</f>
        <v>0</v>
      </c>
      <c r="S36" t="b">
        <f t="shared" si="5"/>
        <v>1</v>
      </c>
      <c r="T36" s="15">
        <f t="shared" si="6"/>
        <v>0</v>
      </c>
      <c r="U36" s="15">
        <f t="shared" si="17"/>
        <v>0</v>
      </c>
      <c r="V36" s="15">
        <f>MIN(U$4:U76)</f>
        <v>0</v>
      </c>
      <c r="W36" t="b">
        <f t="shared" ref="W36:W65" si="19">IF(I36&gt;light_to_mod_cut_off,FALSE,V36&lt;no_wear_cut_off)</f>
        <v>1</v>
      </c>
      <c r="X36">
        <f t="shared" ref="X36:X65" si="20">IF(Q36&lt;ss,1,0)</f>
        <v>1</v>
      </c>
      <c r="Y36">
        <f t="shared" si="15"/>
        <v>12</v>
      </c>
      <c r="Z36">
        <f t="shared" si="7"/>
        <v>0</v>
      </c>
      <c r="AA36" t="str">
        <f t="shared" si="8"/>
        <v/>
      </c>
      <c r="AB36" t="str">
        <f t="shared" si="9"/>
        <v/>
      </c>
      <c r="AI36" s="15"/>
      <c r="BE36" s="19">
        <f t="shared" si="13"/>
        <v>0.1888888888888888</v>
      </c>
      <c r="BF36" t="e">
        <f t="shared" ca="1" si="3"/>
        <v>#VALUE!</v>
      </c>
      <c r="BG36" t="e">
        <f t="shared" ca="1" si="10"/>
        <v>#VALUE!</v>
      </c>
    </row>
    <row r="37" spans="1:59" ht="12" customHeight="1" x14ac:dyDescent="0.2">
      <c r="A37" s="32" t="str">
        <f>LEFT('Input csv'!A134,10)</f>
        <v/>
      </c>
      <c r="B37" s="19" t="e">
        <f t="shared" si="11"/>
        <v>#VALUE!</v>
      </c>
      <c r="C37" s="3">
        <f>'Input csv'!B134</f>
        <v>0</v>
      </c>
      <c r="D37" s="3">
        <f>'Input csv'!C134</f>
        <v>0</v>
      </c>
      <c r="E37" s="3">
        <f>'Input csv'!D134</f>
        <v>0</v>
      </c>
      <c r="F37" s="4">
        <f>'Input csv'!E134</f>
        <v>0</v>
      </c>
      <c r="G37" s="4">
        <f>'Input csv'!F134</f>
        <v>0</v>
      </c>
      <c r="H37" s="5">
        <f>'Input csv'!G134</f>
        <v>0</v>
      </c>
      <c r="I37" s="4">
        <f>'Input csv'!H134</f>
        <v>0</v>
      </c>
      <c r="J37" s="4">
        <f>'Input csv'!I134</f>
        <v>0</v>
      </c>
      <c r="K37" s="4">
        <f>'Input csv'!J134</f>
        <v>0</v>
      </c>
      <c r="L37" s="4">
        <f>'Input csv'!K134</f>
        <v>0</v>
      </c>
      <c r="M37" s="4">
        <f>'Input csv'!L134</f>
        <v>0</v>
      </c>
      <c r="N37" s="11" t="str">
        <f>IF(W37=TRUE,"no wear",IF(S37=TRUE,"bed",IF(I37&gt;'Front Page'!$C$38,"vigorous",IF(I37&gt;'Front Page'!$C$37,"moderate",IF(I37&gt;'Front Page'!$C$36,"light","sedentary")))))</f>
        <v>no wear</v>
      </c>
      <c r="O37" s="13">
        <f t="shared" si="16"/>
        <v>0</v>
      </c>
      <c r="P37" s="4">
        <f t="shared" si="4"/>
        <v>0</v>
      </c>
      <c r="Q37">
        <f t="shared" si="18"/>
        <v>0</v>
      </c>
      <c r="R37">
        <f>MEDIAN($P$1:P96)</f>
        <v>0</v>
      </c>
      <c r="S37" t="b">
        <f t="shared" si="5"/>
        <v>1</v>
      </c>
      <c r="T37" s="15">
        <f t="shared" si="6"/>
        <v>0</v>
      </c>
      <c r="U37" s="15">
        <f t="shared" si="17"/>
        <v>0</v>
      </c>
      <c r="V37" s="15">
        <f>MIN(U$4:U77)</f>
        <v>0</v>
      </c>
      <c r="W37" t="b">
        <f t="shared" si="19"/>
        <v>1</v>
      </c>
      <c r="X37">
        <f t="shared" si="20"/>
        <v>1</v>
      </c>
      <c r="Y37">
        <f t="shared" si="15"/>
        <v>12</v>
      </c>
      <c r="Z37">
        <f t="shared" si="7"/>
        <v>0</v>
      </c>
      <c r="AA37" t="str">
        <f t="shared" ref="AA37:AA65" si="21">IF(W37=TRUE,"",SQRT((ABS(J36-J37)+ABS(K36-K37)+ABS(L36-L37))*I37*100/frequency))</f>
        <v/>
      </c>
      <c r="AB37" t="str">
        <f t="shared" si="9"/>
        <v/>
      </c>
      <c r="AI37" s="15"/>
      <c r="BE37" s="19">
        <f t="shared" si="13"/>
        <v>0.18958333333333324</v>
      </c>
      <c r="BF37" t="e">
        <f t="shared" ca="1" si="3"/>
        <v>#VALUE!</v>
      </c>
      <c r="BG37" t="e">
        <f t="shared" ca="1" si="10"/>
        <v>#VALUE!</v>
      </c>
    </row>
    <row r="38" spans="1:59" ht="12" customHeight="1" x14ac:dyDescent="0.2">
      <c r="A38" s="32" t="str">
        <f>LEFT('Input csv'!A135,10)</f>
        <v/>
      </c>
      <c r="B38" s="19" t="e">
        <f t="shared" si="11"/>
        <v>#VALUE!</v>
      </c>
      <c r="C38" s="3">
        <f>'Input csv'!B135</f>
        <v>0</v>
      </c>
      <c r="D38" s="3">
        <f>'Input csv'!C135</f>
        <v>0</v>
      </c>
      <c r="E38" s="3">
        <f>'Input csv'!D135</f>
        <v>0</v>
      </c>
      <c r="F38" s="4">
        <f>'Input csv'!E135</f>
        <v>0</v>
      </c>
      <c r="G38" s="4">
        <f>'Input csv'!F135</f>
        <v>0</v>
      </c>
      <c r="H38" s="5">
        <f>'Input csv'!G135</f>
        <v>0</v>
      </c>
      <c r="I38" s="4">
        <f>'Input csv'!H135</f>
        <v>0</v>
      </c>
      <c r="J38" s="4">
        <f>'Input csv'!I135</f>
        <v>0</v>
      </c>
      <c r="K38" s="4">
        <f>'Input csv'!J135</f>
        <v>0</v>
      </c>
      <c r="L38" s="4">
        <f>'Input csv'!K135</f>
        <v>0</v>
      </c>
      <c r="M38" s="4">
        <f>'Input csv'!L135</f>
        <v>0</v>
      </c>
      <c r="N38" s="11" t="str">
        <f>IF(W38=TRUE,"no wear",IF(S38=TRUE,"bed",IF(I38&gt;'Front Page'!$C$38,"vigorous",IF(I38&gt;'Front Page'!$C$37,"moderate",IF(I38&gt;'Front Page'!$C$36,"light","sedentary")))))</f>
        <v>no wear</v>
      </c>
      <c r="O38" s="13">
        <f t="shared" si="16"/>
        <v>0</v>
      </c>
      <c r="P38" s="4">
        <f t="shared" si="4"/>
        <v>0</v>
      </c>
      <c r="Q38">
        <f t="shared" si="18"/>
        <v>0</v>
      </c>
      <c r="R38">
        <f>MEDIAN($P$1:P97)</f>
        <v>0</v>
      </c>
      <c r="S38" t="b">
        <f t="shared" si="5"/>
        <v>1</v>
      </c>
      <c r="T38" s="15">
        <f t="shared" si="6"/>
        <v>0</v>
      </c>
      <c r="U38" s="15">
        <f t="shared" si="17"/>
        <v>0</v>
      </c>
      <c r="V38" s="15">
        <f>MIN(U$4:U78)</f>
        <v>0</v>
      </c>
      <c r="W38" t="b">
        <f t="shared" si="19"/>
        <v>1</v>
      </c>
      <c r="X38">
        <f t="shared" si="20"/>
        <v>1</v>
      </c>
      <c r="Y38">
        <f t="shared" si="15"/>
        <v>12</v>
      </c>
      <c r="Z38">
        <f t="shared" si="7"/>
        <v>0</v>
      </c>
      <c r="AA38" t="str">
        <f t="shared" si="21"/>
        <v/>
      </c>
      <c r="AB38" t="str">
        <f t="shared" si="9"/>
        <v/>
      </c>
      <c r="AI38" s="15"/>
      <c r="BE38" s="19">
        <f t="shared" si="13"/>
        <v>0.19027777777777768</v>
      </c>
      <c r="BF38" t="e">
        <f t="shared" ca="1" si="3"/>
        <v>#VALUE!</v>
      </c>
      <c r="BG38" t="e">
        <f t="shared" ca="1" si="10"/>
        <v>#VALUE!</v>
      </c>
    </row>
    <row r="39" spans="1:59" ht="12" customHeight="1" x14ac:dyDescent="0.2">
      <c r="A39" s="32" t="str">
        <f>LEFT('Input csv'!A136,10)</f>
        <v/>
      </c>
      <c r="B39" s="19" t="e">
        <f t="shared" si="11"/>
        <v>#VALUE!</v>
      </c>
      <c r="C39" s="3">
        <f>'Input csv'!B136</f>
        <v>0</v>
      </c>
      <c r="D39" s="3">
        <f>'Input csv'!C136</f>
        <v>0</v>
      </c>
      <c r="E39" s="3">
        <f>'Input csv'!D136</f>
        <v>0</v>
      </c>
      <c r="F39" s="4">
        <f>'Input csv'!E136</f>
        <v>0</v>
      </c>
      <c r="G39" s="4">
        <f>'Input csv'!F136</f>
        <v>0</v>
      </c>
      <c r="H39" s="5">
        <f>'Input csv'!G136</f>
        <v>0</v>
      </c>
      <c r="I39" s="4">
        <f>'Input csv'!H136</f>
        <v>0</v>
      </c>
      <c r="J39" s="4">
        <f>'Input csv'!I136</f>
        <v>0</v>
      </c>
      <c r="K39" s="4">
        <f>'Input csv'!J136</f>
        <v>0</v>
      </c>
      <c r="L39" s="4">
        <f>'Input csv'!K136</f>
        <v>0</v>
      </c>
      <c r="M39" s="4">
        <f>'Input csv'!L136</f>
        <v>0</v>
      </c>
      <c r="N39" s="11" t="str">
        <f>IF(W39=TRUE,"no wear",IF(S39=TRUE,"bed",IF(I39&gt;'Front Page'!$C$38,"vigorous",IF(I39&gt;'Front Page'!$C$37,"moderate",IF(I39&gt;'Front Page'!$C$36,"light","sedentary")))))</f>
        <v>no wear</v>
      </c>
      <c r="O39" s="13">
        <f t="shared" si="16"/>
        <v>0</v>
      </c>
      <c r="P39" s="4">
        <f t="shared" si="4"/>
        <v>0</v>
      </c>
      <c r="Q39">
        <f t="shared" si="18"/>
        <v>0</v>
      </c>
      <c r="R39">
        <f>MEDIAN($P$1:P98)</f>
        <v>0</v>
      </c>
      <c r="S39" t="b">
        <f t="shared" si="5"/>
        <v>1</v>
      </c>
      <c r="T39" s="15">
        <f t="shared" si="6"/>
        <v>0</v>
      </c>
      <c r="U39" s="15">
        <f t="shared" si="17"/>
        <v>0</v>
      </c>
      <c r="V39" s="15">
        <f>MIN(U$4:U79)</f>
        <v>0</v>
      </c>
      <c r="W39" t="b">
        <f t="shared" si="19"/>
        <v>1</v>
      </c>
      <c r="X39">
        <f t="shared" si="20"/>
        <v>1</v>
      </c>
      <c r="Y39">
        <f t="shared" si="15"/>
        <v>12</v>
      </c>
      <c r="Z39">
        <f t="shared" si="7"/>
        <v>0</v>
      </c>
      <c r="AA39" t="str">
        <f t="shared" si="21"/>
        <v/>
      </c>
      <c r="AB39" t="str">
        <f t="shared" si="9"/>
        <v/>
      </c>
      <c r="AI39" s="15"/>
      <c r="BE39" s="19">
        <f t="shared" si="13"/>
        <v>0.19097222222222213</v>
      </c>
      <c r="BF39" t="e">
        <f t="shared" ca="1" si="3"/>
        <v>#VALUE!</v>
      </c>
      <c r="BG39" t="e">
        <f t="shared" ca="1" si="10"/>
        <v>#VALUE!</v>
      </c>
    </row>
    <row r="40" spans="1:59" ht="12" customHeight="1" x14ac:dyDescent="0.2">
      <c r="A40" s="32" t="str">
        <f>LEFT('Input csv'!A137,10)</f>
        <v/>
      </c>
      <c r="B40" s="19" t="e">
        <f t="shared" si="11"/>
        <v>#VALUE!</v>
      </c>
      <c r="C40" s="3">
        <f>'Input csv'!B137</f>
        <v>0</v>
      </c>
      <c r="D40" s="3">
        <f>'Input csv'!C137</f>
        <v>0</v>
      </c>
      <c r="E40" s="3">
        <f>'Input csv'!D137</f>
        <v>0</v>
      </c>
      <c r="F40" s="4">
        <f>'Input csv'!E137</f>
        <v>0</v>
      </c>
      <c r="G40" s="4">
        <f>'Input csv'!F137</f>
        <v>0</v>
      </c>
      <c r="H40" s="5">
        <f>'Input csv'!G137</f>
        <v>0</v>
      </c>
      <c r="I40" s="4">
        <f>'Input csv'!H137</f>
        <v>0</v>
      </c>
      <c r="J40" s="4">
        <f>'Input csv'!I137</f>
        <v>0</v>
      </c>
      <c r="K40" s="4">
        <f>'Input csv'!J137</f>
        <v>0</v>
      </c>
      <c r="L40" s="4">
        <f>'Input csv'!K137</f>
        <v>0</v>
      </c>
      <c r="M40" s="4">
        <f>'Input csv'!L137</f>
        <v>0</v>
      </c>
      <c r="N40" s="11" t="str">
        <f>IF(W40=TRUE,"no wear",IF(S40=TRUE,"bed",IF(I40&gt;'Front Page'!$C$38,"vigorous",IF(I40&gt;'Front Page'!$C$37,"moderate",IF(I40&gt;'Front Page'!$C$36,"light","sedentary")))))</f>
        <v>no wear</v>
      </c>
      <c r="O40" s="13">
        <f t="shared" si="16"/>
        <v>0</v>
      </c>
      <c r="P40" s="4">
        <f t="shared" si="4"/>
        <v>0</v>
      </c>
      <c r="Q40">
        <f t="shared" si="18"/>
        <v>0</v>
      </c>
      <c r="R40">
        <f>MEDIAN($P$1:P99)</f>
        <v>0</v>
      </c>
      <c r="S40" t="b">
        <f t="shared" si="5"/>
        <v>1</v>
      </c>
      <c r="T40" s="15">
        <f t="shared" si="6"/>
        <v>0</v>
      </c>
      <c r="U40" s="15">
        <f t="shared" si="17"/>
        <v>0</v>
      </c>
      <c r="V40" s="15">
        <f>MIN(U$4:U80)</f>
        <v>0</v>
      </c>
      <c r="W40" t="b">
        <f t="shared" si="19"/>
        <v>1</v>
      </c>
      <c r="X40">
        <f t="shared" si="20"/>
        <v>1</v>
      </c>
      <c r="Y40">
        <f t="shared" si="15"/>
        <v>12</v>
      </c>
      <c r="Z40">
        <f t="shared" si="7"/>
        <v>0</v>
      </c>
      <c r="AA40" t="str">
        <f t="shared" si="21"/>
        <v/>
      </c>
      <c r="AB40" t="str">
        <f t="shared" si="9"/>
        <v/>
      </c>
      <c r="AI40" s="15"/>
      <c r="BE40" s="19">
        <f t="shared" si="13"/>
        <v>0.19166666666666657</v>
      </c>
      <c r="BF40" t="e">
        <f t="shared" ca="1" si="3"/>
        <v>#VALUE!</v>
      </c>
      <c r="BG40" t="e">
        <f t="shared" ca="1" si="10"/>
        <v>#VALUE!</v>
      </c>
    </row>
    <row r="41" spans="1:59" ht="12" customHeight="1" x14ac:dyDescent="0.2">
      <c r="A41" s="32" t="str">
        <f>LEFT('Input csv'!A138,10)</f>
        <v/>
      </c>
      <c r="B41" s="19" t="e">
        <f t="shared" si="11"/>
        <v>#VALUE!</v>
      </c>
      <c r="C41" s="3">
        <f>'Input csv'!B138</f>
        <v>0</v>
      </c>
      <c r="D41" s="3">
        <f>'Input csv'!C138</f>
        <v>0</v>
      </c>
      <c r="E41" s="3">
        <f>'Input csv'!D138</f>
        <v>0</v>
      </c>
      <c r="F41" s="4">
        <f>'Input csv'!E138</f>
        <v>0</v>
      </c>
      <c r="G41" s="4">
        <f>'Input csv'!F138</f>
        <v>0</v>
      </c>
      <c r="H41" s="5">
        <f>'Input csv'!G138</f>
        <v>0</v>
      </c>
      <c r="I41" s="4">
        <f>'Input csv'!H138</f>
        <v>0</v>
      </c>
      <c r="J41" s="4">
        <f>'Input csv'!I138</f>
        <v>0</v>
      </c>
      <c r="K41" s="4">
        <f>'Input csv'!J138</f>
        <v>0</v>
      </c>
      <c r="L41" s="4">
        <f>'Input csv'!K138</f>
        <v>0</v>
      </c>
      <c r="M41" s="4">
        <f>'Input csv'!L138</f>
        <v>0</v>
      </c>
      <c r="N41" s="11" t="str">
        <f>IF(W41=TRUE,"no wear",IF(S41=TRUE,"bed",IF(I41&gt;'Front Page'!$C$38,"vigorous",IF(I41&gt;'Front Page'!$C$37,"moderate",IF(I41&gt;'Front Page'!$C$36,"light","sedentary")))))</f>
        <v>no wear</v>
      </c>
      <c r="O41" s="13">
        <f t="shared" si="16"/>
        <v>0</v>
      </c>
      <c r="P41" s="4">
        <f t="shared" si="4"/>
        <v>0</v>
      </c>
      <c r="Q41">
        <f t="shared" si="18"/>
        <v>0</v>
      </c>
      <c r="R41">
        <f>MEDIAN($P$1:P100)</f>
        <v>0</v>
      </c>
      <c r="S41" t="b">
        <f t="shared" si="5"/>
        <v>1</v>
      </c>
      <c r="T41" s="15">
        <f t="shared" si="6"/>
        <v>0</v>
      </c>
      <c r="U41" s="15">
        <f t="shared" si="17"/>
        <v>0</v>
      </c>
      <c r="V41" s="15">
        <f>MIN(U$4:U81)</f>
        <v>0</v>
      </c>
      <c r="W41" t="b">
        <f t="shared" si="19"/>
        <v>1</v>
      </c>
      <c r="X41">
        <f t="shared" si="20"/>
        <v>1</v>
      </c>
      <c r="Y41">
        <f t="shared" si="15"/>
        <v>12</v>
      </c>
      <c r="Z41">
        <f t="shared" si="7"/>
        <v>0</v>
      </c>
      <c r="AA41" t="str">
        <f t="shared" si="21"/>
        <v/>
      </c>
      <c r="AB41" t="str">
        <f t="shared" si="9"/>
        <v/>
      </c>
      <c r="AI41" s="15"/>
      <c r="BE41" s="19">
        <f t="shared" si="13"/>
        <v>0.19236111111111101</v>
      </c>
      <c r="BF41" t="e">
        <f t="shared" ca="1" si="3"/>
        <v>#VALUE!</v>
      </c>
      <c r="BG41" t="e">
        <f t="shared" ca="1" si="10"/>
        <v>#VALUE!</v>
      </c>
    </row>
    <row r="42" spans="1:59" ht="12" customHeight="1" x14ac:dyDescent="0.2">
      <c r="A42" s="32" t="str">
        <f>LEFT('Input csv'!A139,10)</f>
        <v/>
      </c>
      <c r="B42" s="19" t="e">
        <f t="shared" si="11"/>
        <v>#VALUE!</v>
      </c>
      <c r="C42" s="3">
        <f>'Input csv'!B139</f>
        <v>0</v>
      </c>
      <c r="D42" s="3">
        <f>'Input csv'!C139</f>
        <v>0</v>
      </c>
      <c r="E42" s="3">
        <f>'Input csv'!D139</f>
        <v>0</v>
      </c>
      <c r="F42" s="4">
        <f>'Input csv'!E139</f>
        <v>0</v>
      </c>
      <c r="G42" s="4">
        <f>'Input csv'!F139</f>
        <v>0</v>
      </c>
      <c r="H42" s="5">
        <f>'Input csv'!G139</f>
        <v>0</v>
      </c>
      <c r="I42" s="4">
        <f>'Input csv'!H139</f>
        <v>0</v>
      </c>
      <c r="J42" s="4">
        <f>'Input csv'!I139</f>
        <v>0</v>
      </c>
      <c r="K42" s="4">
        <f>'Input csv'!J139</f>
        <v>0</v>
      </c>
      <c r="L42" s="4">
        <f>'Input csv'!K139</f>
        <v>0</v>
      </c>
      <c r="M42" s="4">
        <f>'Input csv'!L139</f>
        <v>0</v>
      </c>
      <c r="N42" s="11" t="str">
        <f>IF(W42=TRUE,"no wear",IF(S42=TRUE,"bed",IF(I42&gt;'Front Page'!$C$38,"vigorous",IF(I42&gt;'Front Page'!$C$37,"moderate",IF(I42&gt;'Front Page'!$C$36,"light","sedentary")))))</f>
        <v>no wear</v>
      </c>
      <c r="O42" s="13">
        <f t="shared" si="16"/>
        <v>0</v>
      </c>
      <c r="P42" s="4">
        <f t="shared" si="4"/>
        <v>0</v>
      </c>
      <c r="Q42">
        <f t="shared" si="18"/>
        <v>0</v>
      </c>
      <c r="R42">
        <f>MEDIAN($P$1:P101)</f>
        <v>0</v>
      </c>
      <c r="S42" t="b">
        <f t="shared" si="5"/>
        <v>1</v>
      </c>
      <c r="T42" s="15">
        <f t="shared" si="6"/>
        <v>0</v>
      </c>
      <c r="U42" s="15">
        <f t="shared" si="17"/>
        <v>0</v>
      </c>
      <c r="V42" s="15">
        <f>MIN(U$4:U82)</f>
        <v>0</v>
      </c>
      <c r="W42" t="b">
        <f t="shared" si="19"/>
        <v>1</v>
      </c>
      <c r="X42">
        <f t="shared" si="20"/>
        <v>1</v>
      </c>
      <c r="Y42">
        <f t="shared" si="15"/>
        <v>12</v>
      </c>
      <c r="Z42">
        <f t="shared" si="7"/>
        <v>0</v>
      </c>
      <c r="AA42" t="str">
        <f t="shared" si="21"/>
        <v/>
      </c>
      <c r="AB42" t="str">
        <f t="shared" si="9"/>
        <v/>
      </c>
      <c r="AI42" s="15"/>
      <c r="BE42" s="19">
        <f t="shared" si="13"/>
        <v>0.19305555555555545</v>
      </c>
      <c r="BF42" t="e">
        <f t="shared" ca="1" si="3"/>
        <v>#VALUE!</v>
      </c>
      <c r="BG42" t="e">
        <f t="shared" ca="1" si="10"/>
        <v>#VALUE!</v>
      </c>
    </row>
    <row r="43" spans="1:59" ht="12" customHeight="1" x14ac:dyDescent="0.2">
      <c r="A43" s="32" t="str">
        <f>LEFT('Input csv'!A140,10)</f>
        <v/>
      </c>
      <c r="B43" s="19" t="e">
        <f t="shared" si="11"/>
        <v>#VALUE!</v>
      </c>
      <c r="C43" s="3">
        <f>'Input csv'!B140</f>
        <v>0</v>
      </c>
      <c r="D43" s="3">
        <f>'Input csv'!C140</f>
        <v>0</v>
      </c>
      <c r="E43" s="3">
        <f>'Input csv'!D140</f>
        <v>0</v>
      </c>
      <c r="F43" s="4">
        <f>'Input csv'!E140</f>
        <v>0</v>
      </c>
      <c r="G43" s="4">
        <f>'Input csv'!F140</f>
        <v>0</v>
      </c>
      <c r="H43" s="5">
        <f>'Input csv'!G140</f>
        <v>0</v>
      </c>
      <c r="I43" s="4">
        <f>'Input csv'!H140</f>
        <v>0</v>
      </c>
      <c r="J43" s="4">
        <f>'Input csv'!I140</f>
        <v>0</v>
      </c>
      <c r="K43" s="4">
        <f>'Input csv'!J140</f>
        <v>0</v>
      </c>
      <c r="L43" s="4">
        <f>'Input csv'!K140</f>
        <v>0</v>
      </c>
      <c r="M43" s="4">
        <f>'Input csv'!L140</f>
        <v>0</v>
      </c>
      <c r="N43" s="11" t="str">
        <f>IF(W43=TRUE,"no wear",IF(S43=TRUE,"bed",IF(I43&gt;'Front Page'!$C$38,"vigorous",IF(I43&gt;'Front Page'!$C$37,"moderate",IF(I43&gt;'Front Page'!$C$36,"light","sedentary")))))</f>
        <v>no wear</v>
      </c>
      <c r="O43" s="13">
        <f t="shared" si="16"/>
        <v>0</v>
      </c>
      <c r="P43" s="4">
        <f t="shared" si="4"/>
        <v>0</v>
      </c>
      <c r="Q43">
        <f t="shared" si="18"/>
        <v>0</v>
      </c>
      <c r="R43">
        <f>MEDIAN($P$1:P102)</f>
        <v>0</v>
      </c>
      <c r="S43" t="b">
        <f t="shared" si="5"/>
        <v>1</v>
      </c>
      <c r="T43" s="15">
        <f t="shared" si="6"/>
        <v>0</v>
      </c>
      <c r="U43" s="15">
        <f t="shared" si="17"/>
        <v>0</v>
      </c>
      <c r="V43" s="15">
        <f>MIN(U$4:U83)</f>
        <v>0</v>
      </c>
      <c r="W43" t="b">
        <f t="shared" si="19"/>
        <v>1</v>
      </c>
      <c r="X43">
        <f t="shared" si="20"/>
        <v>1</v>
      </c>
      <c r="Y43">
        <f t="shared" si="15"/>
        <v>12</v>
      </c>
      <c r="Z43">
        <f t="shared" si="7"/>
        <v>0</v>
      </c>
      <c r="AA43" t="str">
        <f t="shared" si="21"/>
        <v/>
      </c>
      <c r="AB43" t="str">
        <f t="shared" si="9"/>
        <v/>
      </c>
      <c r="AI43" s="15"/>
      <c r="BE43" s="19">
        <f t="shared" si="13"/>
        <v>0.19374999999999989</v>
      </c>
      <c r="BF43" t="e">
        <f t="shared" ca="1" si="3"/>
        <v>#VALUE!</v>
      </c>
      <c r="BG43" t="e">
        <f t="shared" ca="1" si="10"/>
        <v>#VALUE!</v>
      </c>
    </row>
    <row r="44" spans="1:59" ht="12" customHeight="1" x14ac:dyDescent="0.2">
      <c r="A44" s="32" t="str">
        <f>LEFT('Input csv'!A141,10)</f>
        <v/>
      </c>
      <c r="B44" s="19" t="e">
        <f t="shared" si="11"/>
        <v>#VALUE!</v>
      </c>
      <c r="C44" s="3">
        <f>'Input csv'!B141</f>
        <v>0</v>
      </c>
      <c r="D44" s="3">
        <f>'Input csv'!C141</f>
        <v>0</v>
      </c>
      <c r="E44" s="3">
        <f>'Input csv'!D141</f>
        <v>0</v>
      </c>
      <c r="F44" s="4">
        <f>'Input csv'!E141</f>
        <v>0</v>
      </c>
      <c r="G44" s="4">
        <f>'Input csv'!F141</f>
        <v>0</v>
      </c>
      <c r="H44" s="5">
        <f>'Input csv'!G141</f>
        <v>0</v>
      </c>
      <c r="I44" s="4">
        <f>'Input csv'!H141</f>
        <v>0</v>
      </c>
      <c r="J44" s="4">
        <f>'Input csv'!I141</f>
        <v>0</v>
      </c>
      <c r="K44" s="4">
        <f>'Input csv'!J141</f>
        <v>0</v>
      </c>
      <c r="L44" s="4">
        <f>'Input csv'!K141</f>
        <v>0</v>
      </c>
      <c r="M44" s="4">
        <f>'Input csv'!L141</f>
        <v>0</v>
      </c>
      <c r="N44" s="11" t="str">
        <f>IF(W44=TRUE,"no wear",IF(S44=TRUE,"bed",IF(I44&gt;'Front Page'!$C$38,"vigorous",IF(I44&gt;'Front Page'!$C$37,"moderate",IF(I44&gt;'Front Page'!$C$36,"light","sedentary")))))</f>
        <v>no wear</v>
      </c>
      <c r="O44" s="13">
        <f t="shared" si="16"/>
        <v>0</v>
      </c>
      <c r="P44" s="4">
        <f t="shared" si="4"/>
        <v>0</v>
      </c>
      <c r="Q44">
        <f t="shared" si="18"/>
        <v>0</v>
      </c>
      <c r="R44">
        <f>MEDIAN($P$1:P103)</f>
        <v>0</v>
      </c>
      <c r="S44" t="b">
        <f t="shared" si="5"/>
        <v>1</v>
      </c>
      <c r="T44" s="15">
        <f t="shared" si="6"/>
        <v>0</v>
      </c>
      <c r="U44" s="15">
        <f t="shared" si="17"/>
        <v>0</v>
      </c>
      <c r="V44" s="15">
        <f>MIN(U$4:U84)</f>
        <v>0</v>
      </c>
      <c r="W44" t="b">
        <f t="shared" si="19"/>
        <v>1</v>
      </c>
      <c r="X44">
        <f t="shared" si="20"/>
        <v>1</v>
      </c>
      <c r="Y44">
        <f t="shared" si="15"/>
        <v>12</v>
      </c>
      <c r="Z44">
        <f t="shared" si="7"/>
        <v>0</v>
      </c>
      <c r="AA44" t="str">
        <f t="shared" si="21"/>
        <v/>
      </c>
      <c r="AB44" t="str">
        <f t="shared" si="9"/>
        <v/>
      </c>
      <c r="AI44" s="15"/>
      <c r="BE44" s="19">
        <f t="shared" si="13"/>
        <v>0.19444444444444434</v>
      </c>
      <c r="BF44" t="e">
        <f t="shared" ca="1" si="3"/>
        <v>#VALUE!</v>
      </c>
      <c r="BG44" t="e">
        <f t="shared" ca="1" si="10"/>
        <v>#VALUE!</v>
      </c>
    </row>
    <row r="45" spans="1:59" ht="12" customHeight="1" x14ac:dyDescent="0.2">
      <c r="A45" s="32" t="str">
        <f>LEFT('Input csv'!A142,10)</f>
        <v/>
      </c>
      <c r="B45" s="19" t="e">
        <f t="shared" si="11"/>
        <v>#VALUE!</v>
      </c>
      <c r="C45" s="3">
        <f>'Input csv'!B142</f>
        <v>0</v>
      </c>
      <c r="D45" s="3">
        <f>'Input csv'!C142</f>
        <v>0</v>
      </c>
      <c r="E45" s="3">
        <f>'Input csv'!D142</f>
        <v>0</v>
      </c>
      <c r="F45" s="4">
        <f>'Input csv'!E142</f>
        <v>0</v>
      </c>
      <c r="G45" s="4">
        <f>'Input csv'!F142</f>
        <v>0</v>
      </c>
      <c r="H45" s="5">
        <f>'Input csv'!G142</f>
        <v>0</v>
      </c>
      <c r="I45" s="4">
        <f>'Input csv'!H142</f>
        <v>0</v>
      </c>
      <c r="J45" s="4">
        <f>'Input csv'!I142</f>
        <v>0</v>
      </c>
      <c r="K45" s="4">
        <f>'Input csv'!J142</f>
        <v>0</v>
      </c>
      <c r="L45" s="4">
        <f>'Input csv'!K142</f>
        <v>0</v>
      </c>
      <c r="M45" s="4">
        <f>'Input csv'!L142</f>
        <v>0</v>
      </c>
      <c r="N45" s="11" t="str">
        <f>IF(W45=TRUE,"no wear",IF(S45=TRUE,"bed",IF(I45&gt;'Front Page'!$C$38,"vigorous",IF(I45&gt;'Front Page'!$C$37,"moderate",IF(I45&gt;'Front Page'!$C$36,"light","sedentary")))))</f>
        <v>no wear</v>
      </c>
      <c r="O45" s="13">
        <f t="shared" si="16"/>
        <v>0</v>
      </c>
      <c r="P45" s="4">
        <f t="shared" si="4"/>
        <v>0</v>
      </c>
      <c r="Q45">
        <f t="shared" si="18"/>
        <v>0</v>
      </c>
      <c r="R45">
        <f>MEDIAN($P$1:P104)</f>
        <v>0</v>
      </c>
      <c r="S45" t="b">
        <f t="shared" si="5"/>
        <v>1</v>
      </c>
      <c r="T45" s="15">
        <f t="shared" si="6"/>
        <v>0</v>
      </c>
      <c r="U45" s="15">
        <f t="shared" si="17"/>
        <v>0</v>
      </c>
      <c r="V45" s="15">
        <f>MIN(U5:U85)</f>
        <v>0</v>
      </c>
      <c r="W45" t="b">
        <f t="shared" si="19"/>
        <v>1</v>
      </c>
      <c r="X45">
        <f t="shared" si="20"/>
        <v>1</v>
      </c>
      <c r="Y45">
        <f t="shared" si="15"/>
        <v>12</v>
      </c>
      <c r="Z45">
        <f t="shared" si="7"/>
        <v>0</v>
      </c>
      <c r="AA45" t="str">
        <f t="shared" si="21"/>
        <v/>
      </c>
      <c r="AB45" t="str">
        <f t="shared" si="9"/>
        <v/>
      </c>
      <c r="AI45" s="15"/>
      <c r="BE45" s="19">
        <f t="shared" si="13"/>
        <v>0.19513888888888878</v>
      </c>
      <c r="BF45" t="e">
        <f t="shared" ca="1" si="3"/>
        <v>#VALUE!</v>
      </c>
      <c r="BG45" t="e">
        <f t="shared" ca="1" si="10"/>
        <v>#VALUE!</v>
      </c>
    </row>
    <row r="46" spans="1:59" ht="12" customHeight="1" x14ac:dyDescent="0.2">
      <c r="A46" s="32" t="str">
        <f>LEFT('Input csv'!A143,10)</f>
        <v/>
      </c>
      <c r="B46" s="19" t="e">
        <f t="shared" si="11"/>
        <v>#VALUE!</v>
      </c>
      <c r="C46" s="3">
        <f>'Input csv'!B143</f>
        <v>0</v>
      </c>
      <c r="D46" s="3">
        <f>'Input csv'!C143</f>
        <v>0</v>
      </c>
      <c r="E46" s="3">
        <f>'Input csv'!D143</f>
        <v>0</v>
      </c>
      <c r="F46" s="4">
        <f>'Input csv'!E143</f>
        <v>0</v>
      </c>
      <c r="G46" s="4">
        <f>'Input csv'!F143</f>
        <v>0</v>
      </c>
      <c r="H46" s="5">
        <f>'Input csv'!G143</f>
        <v>0</v>
      </c>
      <c r="I46" s="4">
        <f>'Input csv'!H143</f>
        <v>0</v>
      </c>
      <c r="J46" s="4">
        <f>'Input csv'!I143</f>
        <v>0</v>
      </c>
      <c r="K46" s="4">
        <f>'Input csv'!J143</f>
        <v>0</v>
      </c>
      <c r="L46" s="4">
        <f>'Input csv'!K143</f>
        <v>0</v>
      </c>
      <c r="M46" s="4">
        <f>'Input csv'!L143</f>
        <v>0</v>
      </c>
      <c r="N46" s="11" t="str">
        <f>IF(W46=TRUE,"no wear",IF(S46=TRUE,"bed",IF(I46&gt;'Front Page'!$C$38,"vigorous",IF(I46&gt;'Front Page'!$C$37,"moderate",IF(I46&gt;'Front Page'!$C$36,"light","sedentary")))))</f>
        <v>no wear</v>
      </c>
      <c r="O46" s="13">
        <f t="shared" si="16"/>
        <v>0</v>
      </c>
      <c r="P46" s="4">
        <f t="shared" si="4"/>
        <v>0</v>
      </c>
      <c r="Q46">
        <f t="shared" si="18"/>
        <v>0</v>
      </c>
      <c r="R46">
        <f>MEDIAN($P$1:P105)</f>
        <v>0</v>
      </c>
      <c r="S46" t="b">
        <f t="shared" si="5"/>
        <v>1</v>
      </c>
      <c r="T46" s="15">
        <f t="shared" si="6"/>
        <v>0</v>
      </c>
      <c r="U46" s="15">
        <f t="shared" si="17"/>
        <v>0</v>
      </c>
      <c r="V46" s="15">
        <f t="shared" ref="V46:V65" si="22">MIN(U6:U86)</f>
        <v>0</v>
      </c>
      <c r="W46" t="b">
        <f t="shared" si="19"/>
        <v>1</v>
      </c>
      <c r="X46">
        <f t="shared" si="20"/>
        <v>1</v>
      </c>
      <c r="Y46">
        <f t="shared" si="15"/>
        <v>12</v>
      </c>
      <c r="Z46">
        <f t="shared" si="7"/>
        <v>0</v>
      </c>
      <c r="AA46" t="str">
        <f t="shared" si="21"/>
        <v/>
      </c>
      <c r="AB46" t="str">
        <f t="shared" si="9"/>
        <v/>
      </c>
      <c r="AI46" s="15"/>
      <c r="BE46" s="19">
        <f t="shared" si="13"/>
        <v>0.19583333333333322</v>
      </c>
      <c r="BF46" t="e">
        <f t="shared" ca="1" si="3"/>
        <v>#VALUE!</v>
      </c>
      <c r="BG46" t="e">
        <f t="shared" ca="1" si="10"/>
        <v>#VALUE!</v>
      </c>
    </row>
    <row r="47" spans="1:59" ht="12" customHeight="1" x14ac:dyDescent="0.2">
      <c r="A47" s="32" t="str">
        <f>LEFT('Input csv'!A144,10)</f>
        <v/>
      </c>
      <c r="B47" s="19" t="e">
        <f t="shared" si="11"/>
        <v>#VALUE!</v>
      </c>
      <c r="C47" s="3">
        <f>'Input csv'!B144</f>
        <v>0</v>
      </c>
      <c r="D47" s="3">
        <f>'Input csv'!C144</f>
        <v>0</v>
      </c>
      <c r="E47" s="3">
        <f>'Input csv'!D144</f>
        <v>0</v>
      </c>
      <c r="F47" s="4">
        <f>'Input csv'!E144</f>
        <v>0</v>
      </c>
      <c r="G47" s="4">
        <f>'Input csv'!F144</f>
        <v>0</v>
      </c>
      <c r="H47" s="5">
        <f>'Input csv'!G144</f>
        <v>0</v>
      </c>
      <c r="I47" s="4">
        <f>'Input csv'!H144</f>
        <v>0</v>
      </c>
      <c r="J47" s="4">
        <f>'Input csv'!I144</f>
        <v>0</v>
      </c>
      <c r="K47" s="4">
        <f>'Input csv'!J144</f>
        <v>0</v>
      </c>
      <c r="L47" s="4">
        <f>'Input csv'!K144</f>
        <v>0</v>
      </c>
      <c r="M47" s="4">
        <f>'Input csv'!L144</f>
        <v>0</v>
      </c>
      <c r="N47" s="11" t="str">
        <f>IF(W47=TRUE,"no wear",IF(S47=TRUE,"bed",IF(I47&gt;'Front Page'!$C$38,"vigorous",IF(I47&gt;'Front Page'!$C$37,"moderate",IF(I47&gt;'Front Page'!$C$36,"light","sedentary")))))</f>
        <v>no wear</v>
      </c>
      <c r="O47" s="13">
        <f t="shared" si="16"/>
        <v>0</v>
      </c>
      <c r="P47" s="4">
        <f t="shared" si="4"/>
        <v>0</v>
      </c>
      <c r="Q47">
        <f t="shared" si="18"/>
        <v>0</v>
      </c>
      <c r="R47">
        <f>MEDIAN($P$1:P106)</f>
        <v>0</v>
      </c>
      <c r="S47" t="b">
        <f t="shared" si="5"/>
        <v>1</v>
      </c>
      <c r="T47" s="15">
        <f t="shared" si="6"/>
        <v>0</v>
      </c>
      <c r="U47" s="15">
        <f t="shared" si="17"/>
        <v>0</v>
      </c>
      <c r="V47" s="15">
        <f t="shared" si="22"/>
        <v>0</v>
      </c>
      <c r="W47" t="b">
        <f t="shared" si="19"/>
        <v>1</v>
      </c>
      <c r="X47">
        <f t="shared" si="20"/>
        <v>1</v>
      </c>
      <c r="Y47">
        <f t="shared" si="15"/>
        <v>12</v>
      </c>
      <c r="Z47">
        <f t="shared" si="7"/>
        <v>0</v>
      </c>
      <c r="AA47" t="str">
        <f t="shared" si="21"/>
        <v/>
      </c>
      <c r="AB47" t="str">
        <f t="shared" si="9"/>
        <v/>
      </c>
      <c r="AI47" s="15"/>
      <c r="BE47" s="19">
        <f t="shared" si="13"/>
        <v>0.19652777777777766</v>
      </c>
      <c r="BF47" t="e">
        <f t="shared" ca="1" si="3"/>
        <v>#VALUE!</v>
      </c>
      <c r="BG47" t="e">
        <f t="shared" ca="1" si="10"/>
        <v>#VALUE!</v>
      </c>
    </row>
    <row r="48" spans="1:59" ht="12" customHeight="1" x14ac:dyDescent="0.2">
      <c r="A48" s="32" t="str">
        <f>LEFT('Input csv'!A145,10)</f>
        <v/>
      </c>
      <c r="B48" s="19" t="e">
        <f t="shared" si="11"/>
        <v>#VALUE!</v>
      </c>
      <c r="C48" s="3">
        <f>'Input csv'!B145</f>
        <v>0</v>
      </c>
      <c r="D48" s="3">
        <f>'Input csv'!C145</f>
        <v>0</v>
      </c>
      <c r="E48" s="3">
        <f>'Input csv'!D145</f>
        <v>0</v>
      </c>
      <c r="F48" s="4">
        <f>'Input csv'!E145</f>
        <v>0</v>
      </c>
      <c r="G48" s="4">
        <f>'Input csv'!F145</f>
        <v>0</v>
      </c>
      <c r="H48" s="5">
        <f>'Input csv'!G145</f>
        <v>0</v>
      </c>
      <c r="I48" s="4">
        <f>'Input csv'!H145</f>
        <v>0</v>
      </c>
      <c r="J48" s="4">
        <f>'Input csv'!I145</f>
        <v>0</v>
      </c>
      <c r="K48" s="4">
        <f>'Input csv'!J145</f>
        <v>0</v>
      </c>
      <c r="L48" s="4">
        <f>'Input csv'!K145</f>
        <v>0</v>
      </c>
      <c r="M48" s="4">
        <f>'Input csv'!L145</f>
        <v>0</v>
      </c>
      <c r="N48" s="11" t="str">
        <f>IF(W48=TRUE,"no wear",IF(S48=TRUE,"bed",IF(I48&gt;'Front Page'!$C$38,"vigorous",IF(I48&gt;'Front Page'!$C$37,"moderate",IF(I48&gt;'Front Page'!$C$36,"light","sedentary")))))</f>
        <v>no wear</v>
      </c>
      <c r="O48" s="13">
        <f t="shared" si="16"/>
        <v>0</v>
      </c>
      <c r="P48" s="4">
        <f t="shared" si="4"/>
        <v>0</v>
      </c>
      <c r="Q48">
        <f t="shared" si="18"/>
        <v>0</v>
      </c>
      <c r="R48">
        <f>MEDIAN($P$1:P107)</f>
        <v>0</v>
      </c>
      <c r="S48" t="b">
        <f t="shared" si="5"/>
        <v>1</v>
      </c>
      <c r="T48" s="15">
        <f t="shared" si="6"/>
        <v>0</v>
      </c>
      <c r="U48" s="15">
        <f t="shared" si="17"/>
        <v>0</v>
      </c>
      <c r="V48" s="15">
        <f t="shared" si="22"/>
        <v>0</v>
      </c>
      <c r="W48" t="b">
        <f t="shared" si="19"/>
        <v>1</v>
      </c>
      <c r="X48">
        <f t="shared" si="20"/>
        <v>1</v>
      </c>
      <c r="Y48">
        <f t="shared" si="15"/>
        <v>12</v>
      </c>
      <c r="Z48">
        <f t="shared" si="7"/>
        <v>0</v>
      </c>
      <c r="AA48" t="str">
        <f t="shared" si="21"/>
        <v/>
      </c>
      <c r="AB48" t="str">
        <f t="shared" si="9"/>
        <v/>
      </c>
      <c r="AI48" s="15"/>
      <c r="BE48" s="19">
        <f t="shared" si="13"/>
        <v>0.1972222222222221</v>
      </c>
      <c r="BF48" t="e">
        <f t="shared" ca="1" si="3"/>
        <v>#VALUE!</v>
      </c>
      <c r="BG48" t="e">
        <f t="shared" ca="1" si="10"/>
        <v>#VALUE!</v>
      </c>
    </row>
    <row r="49" spans="1:59" ht="12" customHeight="1" x14ac:dyDescent="0.2">
      <c r="A49" s="32" t="str">
        <f>LEFT('Input csv'!A146,10)</f>
        <v/>
      </c>
      <c r="B49" s="19" t="e">
        <f t="shared" si="11"/>
        <v>#VALUE!</v>
      </c>
      <c r="C49" s="3">
        <f>'Input csv'!B146</f>
        <v>0</v>
      </c>
      <c r="D49" s="3">
        <f>'Input csv'!C146</f>
        <v>0</v>
      </c>
      <c r="E49" s="3">
        <f>'Input csv'!D146</f>
        <v>0</v>
      </c>
      <c r="F49" s="4">
        <f>'Input csv'!E146</f>
        <v>0</v>
      </c>
      <c r="G49" s="4">
        <f>'Input csv'!F146</f>
        <v>0</v>
      </c>
      <c r="H49" s="5">
        <f>'Input csv'!G146</f>
        <v>0</v>
      </c>
      <c r="I49" s="4">
        <f>'Input csv'!H146</f>
        <v>0</v>
      </c>
      <c r="J49" s="4">
        <f>'Input csv'!I146</f>
        <v>0</v>
      </c>
      <c r="K49" s="4">
        <f>'Input csv'!J146</f>
        <v>0</v>
      </c>
      <c r="L49" s="4">
        <f>'Input csv'!K146</f>
        <v>0</v>
      </c>
      <c r="M49" s="4">
        <f>'Input csv'!L146</f>
        <v>0</v>
      </c>
      <c r="N49" s="11" t="str">
        <f>IF(W49=TRUE,"no wear",IF(S49=TRUE,"bed",IF(I49&gt;'Front Page'!$C$38,"vigorous",IF(I49&gt;'Front Page'!$C$37,"moderate",IF(I49&gt;'Front Page'!$C$36,"light","sedentary")))))</f>
        <v>no wear</v>
      </c>
      <c r="O49" s="13">
        <f t="shared" si="16"/>
        <v>0</v>
      </c>
      <c r="P49" s="4">
        <f t="shared" si="4"/>
        <v>0</v>
      </c>
      <c r="Q49">
        <f t="shared" si="18"/>
        <v>0</v>
      </c>
      <c r="R49">
        <f>MEDIAN($P$1:P108)</f>
        <v>0</v>
      </c>
      <c r="S49" t="b">
        <f t="shared" si="5"/>
        <v>1</v>
      </c>
      <c r="T49" s="15">
        <f t="shared" si="6"/>
        <v>0</v>
      </c>
      <c r="U49" s="15">
        <f t="shared" si="17"/>
        <v>0</v>
      </c>
      <c r="V49" s="15">
        <f t="shared" si="22"/>
        <v>0</v>
      </c>
      <c r="W49" t="b">
        <f t="shared" si="19"/>
        <v>1</v>
      </c>
      <c r="X49">
        <f t="shared" si="20"/>
        <v>1</v>
      </c>
      <c r="Y49">
        <f t="shared" si="15"/>
        <v>12</v>
      </c>
      <c r="Z49">
        <f t="shared" si="7"/>
        <v>0</v>
      </c>
      <c r="AA49" t="str">
        <f t="shared" si="21"/>
        <v/>
      </c>
      <c r="AB49" t="str">
        <f t="shared" si="9"/>
        <v/>
      </c>
      <c r="AI49" s="15"/>
      <c r="BE49" s="19">
        <f t="shared" si="13"/>
        <v>0.19791666666666655</v>
      </c>
      <c r="BF49" t="e">
        <f t="shared" ca="1" si="3"/>
        <v>#VALUE!</v>
      </c>
      <c r="BG49" t="e">
        <f t="shared" ca="1" si="10"/>
        <v>#VALUE!</v>
      </c>
    </row>
    <row r="50" spans="1:59" ht="12" customHeight="1" x14ac:dyDescent="0.2">
      <c r="A50" s="32" t="str">
        <f>LEFT('Input csv'!A147,10)</f>
        <v/>
      </c>
      <c r="B50" s="19" t="e">
        <f t="shared" si="11"/>
        <v>#VALUE!</v>
      </c>
      <c r="C50" s="3">
        <f>'Input csv'!B147</f>
        <v>0</v>
      </c>
      <c r="D50" s="3">
        <f>'Input csv'!C147</f>
        <v>0</v>
      </c>
      <c r="E50" s="3">
        <f>'Input csv'!D147</f>
        <v>0</v>
      </c>
      <c r="F50" s="4">
        <f>'Input csv'!E147</f>
        <v>0</v>
      </c>
      <c r="G50" s="4">
        <f>'Input csv'!F147</f>
        <v>0</v>
      </c>
      <c r="H50" s="5">
        <f>'Input csv'!G147</f>
        <v>0</v>
      </c>
      <c r="I50" s="4">
        <f>'Input csv'!H147</f>
        <v>0</v>
      </c>
      <c r="J50" s="4">
        <f>'Input csv'!I147</f>
        <v>0</v>
      </c>
      <c r="K50" s="4">
        <f>'Input csv'!J147</f>
        <v>0</v>
      </c>
      <c r="L50" s="4">
        <f>'Input csv'!K147</f>
        <v>0</v>
      </c>
      <c r="M50" s="4">
        <f>'Input csv'!L147</f>
        <v>0</v>
      </c>
      <c r="N50" s="11" t="str">
        <f>IF(W50=TRUE,"no wear",IF(S50=TRUE,"bed",IF(I50&gt;'Front Page'!$C$38,"vigorous",IF(I50&gt;'Front Page'!$C$37,"moderate",IF(I50&gt;'Front Page'!$C$36,"light","sedentary")))))</f>
        <v>no wear</v>
      </c>
      <c r="O50" s="13">
        <f t="shared" si="16"/>
        <v>0</v>
      </c>
      <c r="P50" s="4">
        <f t="shared" si="4"/>
        <v>0</v>
      </c>
      <c r="Q50">
        <f t="shared" si="18"/>
        <v>0</v>
      </c>
      <c r="R50">
        <f>MEDIAN($P$1:P109)</f>
        <v>0</v>
      </c>
      <c r="S50" t="b">
        <f t="shared" si="5"/>
        <v>1</v>
      </c>
      <c r="T50" s="15">
        <f t="shared" si="6"/>
        <v>0</v>
      </c>
      <c r="U50" s="15">
        <f t="shared" si="17"/>
        <v>0</v>
      </c>
      <c r="V50" s="15">
        <f t="shared" si="22"/>
        <v>0</v>
      </c>
      <c r="W50" t="b">
        <f t="shared" si="19"/>
        <v>1</v>
      </c>
      <c r="X50">
        <f t="shared" si="20"/>
        <v>1</v>
      </c>
      <c r="Y50">
        <f t="shared" si="15"/>
        <v>12</v>
      </c>
      <c r="Z50">
        <f t="shared" si="7"/>
        <v>0</v>
      </c>
      <c r="AA50" t="str">
        <f t="shared" si="21"/>
        <v/>
      </c>
      <c r="AB50" t="str">
        <f t="shared" si="9"/>
        <v/>
      </c>
      <c r="AI50" s="15"/>
      <c r="BE50" s="19">
        <f t="shared" si="13"/>
        <v>0.19861111111111099</v>
      </c>
      <c r="BF50" t="e">
        <f t="shared" ca="1" si="3"/>
        <v>#VALUE!</v>
      </c>
      <c r="BG50" t="e">
        <f t="shared" ca="1" si="10"/>
        <v>#VALUE!</v>
      </c>
    </row>
    <row r="51" spans="1:59" ht="12" customHeight="1" x14ac:dyDescent="0.2">
      <c r="A51" s="32" t="str">
        <f>LEFT('Input csv'!A148,10)</f>
        <v/>
      </c>
      <c r="B51" s="19" t="e">
        <f t="shared" si="11"/>
        <v>#VALUE!</v>
      </c>
      <c r="C51" s="3">
        <f>'Input csv'!B148</f>
        <v>0</v>
      </c>
      <c r="D51" s="3">
        <f>'Input csv'!C148</f>
        <v>0</v>
      </c>
      <c r="E51" s="3">
        <f>'Input csv'!D148</f>
        <v>0</v>
      </c>
      <c r="F51" s="4">
        <f>'Input csv'!E148</f>
        <v>0</v>
      </c>
      <c r="G51" s="4">
        <f>'Input csv'!F148</f>
        <v>0</v>
      </c>
      <c r="H51" s="5">
        <f>'Input csv'!G148</f>
        <v>0</v>
      </c>
      <c r="I51" s="4">
        <f>'Input csv'!H148</f>
        <v>0</v>
      </c>
      <c r="J51" s="4">
        <f>'Input csv'!I148</f>
        <v>0</v>
      </c>
      <c r="K51" s="4">
        <f>'Input csv'!J148</f>
        <v>0</v>
      </c>
      <c r="L51" s="4">
        <f>'Input csv'!K148</f>
        <v>0</v>
      </c>
      <c r="M51" s="4">
        <f>'Input csv'!L148</f>
        <v>0</v>
      </c>
      <c r="N51" s="11" t="str">
        <f>IF(W51=TRUE,"no wear",IF(S51=TRUE,"bed",IF(I51&gt;'Front Page'!$C$38,"vigorous",IF(I51&gt;'Front Page'!$C$37,"moderate",IF(I51&gt;'Front Page'!$C$36,"light","sedentary")))))</f>
        <v>no wear</v>
      </c>
      <c r="O51" s="13">
        <f t="shared" si="16"/>
        <v>0</v>
      </c>
      <c r="P51" s="4">
        <f t="shared" si="4"/>
        <v>0</v>
      </c>
      <c r="Q51">
        <f t="shared" si="18"/>
        <v>0</v>
      </c>
      <c r="R51">
        <f>MEDIAN($P$1:P110)</f>
        <v>0</v>
      </c>
      <c r="S51" t="b">
        <f t="shared" si="5"/>
        <v>1</v>
      </c>
      <c r="T51" s="15">
        <f t="shared" si="6"/>
        <v>0</v>
      </c>
      <c r="U51" s="15">
        <f t="shared" si="17"/>
        <v>0</v>
      </c>
      <c r="V51" s="15">
        <f t="shared" si="22"/>
        <v>0</v>
      </c>
      <c r="W51" t="b">
        <f t="shared" si="19"/>
        <v>1</v>
      </c>
      <c r="X51">
        <f t="shared" si="20"/>
        <v>1</v>
      </c>
      <c r="Y51">
        <f t="shared" si="15"/>
        <v>12</v>
      </c>
      <c r="Z51">
        <f t="shared" si="7"/>
        <v>0</v>
      </c>
      <c r="AA51" t="str">
        <f t="shared" si="21"/>
        <v/>
      </c>
      <c r="AB51" t="str">
        <f t="shared" si="9"/>
        <v/>
      </c>
      <c r="AI51" s="15"/>
      <c r="BE51" s="19">
        <f t="shared" si="13"/>
        <v>0.19930555555555543</v>
      </c>
      <c r="BF51" t="e">
        <f t="shared" ca="1" si="3"/>
        <v>#VALUE!</v>
      </c>
      <c r="BG51" t="e">
        <f t="shared" ca="1" si="10"/>
        <v>#VALUE!</v>
      </c>
    </row>
    <row r="52" spans="1:59" ht="12" customHeight="1" x14ac:dyDescent="0.2">
      <c r="A52" s="32" t="str">
        <f>LEFT('Input csv'!A149,10)</f>
        <v/>
      </c>
      <c r="B52" s="19" t="e">
        <f t="shared" si="11"/>
        <v>#VALUE!</v>
      </c>
      <c r="C52" s="3">
        <f>'Input csv'!B149</f>
        <v>0</v>
      </c>
      <c r="D52" s="3">
        <f>'Input csv'!C149</f>
        <v>0</v>
      </c>
      <c r="E52" s="3">
        <f>'Input csv'!D149</f>
        <v>0</v>
      </c>
      <c r="F52" s="4">
        <f>'Input csv'!E149</f>
        <v>0</v>
      </c>
      <c r="G52" s="4">
        <f>'Input csv'!F149</f>
        <v>0</v>
      </c>
      <c r="H52" s="5">
        <f>'Input csv'!G149</f>
        <v>0</v>
      </c>
      <c r="I52" s="4">
        <f>'Input csv'!H149</f>
        <v>0</v>
      </c>
      <c r="J52" s="4">
        <f>'Input csv'!I149</f>
        <v>0</v>
      </c>
      <c r="K52" s="4">
        <f>'Input csv'!J149</f>
        <v>0</v>
      </c>
      <c r="L52" s="4">
        <f>'Input csv'!K149</f>
        <v>0</v>
      </c>
      <c r="M52" s="4">
        <f>'Input csv'!L149</f>
        <v>0</v>
      </c>
      <c r="N52" s="11" t="str">
        <f>IF(W52=TRUE,"no wear",IF(S52=TRUE,"bed",IF(I52&gt;'Front Page'!$C$38,"vigorous",IF(I52&gt;'Front Page'!$C$37,"moderate",IF(I52&gt;'Front Page'!$C$36,"light","sedentary")))))</f>
        <v>no wear</v>
      </c>
      <c r="O52" s="13">
        <f t="shared" si="16"/>
        <v>0</v>
      </c>
      <c r="P52" s="4">
        <f t="shared" si="4"/>
        <v>0</v>
      </c>
      <c r="Q52">
        <f t="shared" si="18"/>
        <v>0</v>
      </c>
      <c r="R52">
        <f>MEDIAN($P$1:P111)</f>
        <v>0</v>
      </c>
      <c r="S52" t="b">
        <f t="shared" si="5"/>
        <v>1</v>
      </c>
      <c r="T52" s="15">
        <f t="shared" si="6"/>
        <v>0</v>
      </c>
      <c r="U52" s="15">
        <f t="shared" si="17"/>
        <v>0</v>
      </c>
      <c r="V52" s="15">
        <f t="shared" si="22"/>
        <v>0</v>
      </c>
      <c r="W52" t="b">
        <f t="shared" si="19"/>
        <v>1</v>
      </c>
      <c r="X52">
        <f t="shared" si="20"/>
        <v>1</v>
      </c>
      <c r="Y52">
        <f t="shared" si="15"/>
        <v>12</v>
      </c>
      <c r="Z52">
        <f t="shared" si="7"/>
        <v>0</v>
      </c>
      <c r="AA52" t="str">
        <f t="shared" si="21"/>
        <v/>
      </c>
      <c r="AB52" t="str">
        <f t="shared" si="9"/>
        <v/>
      </c>
      <c r="AI52" s="15"/>
      <c r="BE52" s="19">
        <f t="shared" si="13"/>
        <v>0.19999999999999987</v>
      </c>
      <c r="BF52" t="e">
        <f t="shared" ca="1" si="3"/>
        <v>#VALUE!</v>
      </c>
      <c r="BG52" t="e">
        <f t="shared" ca="1" si="10"/>
        <v>#VALUE!</v>
      </c>
    </row>
    <row r="53" spans="1:59" ht="12" customHeight="1" x14ac:dyDescent="0.2">
      <c r="A53" s="32" t="str">
        <f>LEFT('Input csv'!A150,10)</f>
        <v/>
      </c>
      <c r="B53" s="19" t="e">
        <f t="shared" si="11"/>
        <v>#VALUE!</v>
      </c>
      <c r="C53" s="3">
        <f>'Input csv'!B150</f>
        <v>0</v>
      </c>
      <c r="D53" s="3">
        <f>'Input csv'!C150</f>
        <v>0</v>
      </c>
      <c r="E53" s="3">
        <f>'Input csv'!D150</f>
        <v>0</v>
      </c>
      <c r="F53" s="4">
        <f>'Input csv'!E150</f>
        <v>0</v>
      </c>
      <c r="G53" s="4">
        <f>'Input csv'!F150</f>
        <v>0</v>
      </c>
      <c r="H53" s="5">
        <f>'Input csv'!G150</f>
        <v>0</v>
      </c>
      <c r="I53" s="4">
        <f>'Input csv'!H150</f>
        <v>0</v>
      </c>
      <c r="J53" s="4">
        <f>'Input csv'!I150</f>
        <v>0</v>
      </c>
      <c r="K53" s="4">
        <f>'Input csv'!J150</f>
        <v>0</v>
      </c>
      <c r="L53" s="4">
        <f>'Input csv'!K150</f>
        <v>0</v>
      </c>
      <c r="M53" s="4">
        <f>'Input csv'!L150</f>
        <v>0</v>
      </c>
      <c r="N53" s="11" t="str">
        <f>IF(W53=TRUE,"no wear",IF(S53=TRUE,"bed",IF(I53&gt;'Front Page'!$C$38,"vigorous",IF(I53&gt;'Front Page'!$C$37,"moderate",IF(I53&gt;'Front Page'!$C$36,"light","sedentary")))))</f>
        <v>no wear</v>
      </c>
      <c r="O53" s="13">
        <f t="shared" si="16"/>
        <v>0</v>
      </c>
      <c r="P53" s="4">
        <f t="shared" si="4"/>
        <v>0</v>
      </c>
      <c r="Q53">
        <f t="shared" si="18"/>
        <v>0</v>
      </c>
      <c r="R53">
        <f>MEDIAN($P$1:P112)</f>
        <v>0</v>
      </c>
      <c r="S53" t="b">
        <f t="shared" si="5"/>
        <v>1</v>
      </c>
      <c r="T53" s="15">
        <f t="shared" si="6"/>
        <v>0</v>
      </c>
      <c r="U53" s="15">
        <f t="shared" si="17"/>
        <v>0</v>
      </c>
      <c r="V53" s="15">
        <f t="shared" si="22"/>
        <v>0</v>
      </c>
      <c r="W53" t="b">
        <f t="shared" si="19"/>
        <v>1</v>
      </c>
      <c r="X53">
        <f t="shared" si="20"/>
        <v>1</v>
      </c>
      <c r="Y53">
        <f t="shared" si="15"/>
        <v>12</v>
      </c>
      <c r="Z53">
        <f t="shared" si="7"/>
        <v>0</v>
      </c>
      <c r="AA53" t="str">
        <f t="shared" si="21"/>
        <v/>
      </c>
      <c r="AB53" t="str">
        <f t="shared" si="9"/>
        <v/>
      </c>
      <c r="AI53" s="15"/>
      <c r="BE53" s="19">
        <f t="shared" si="13"/>
        <v>0.20069444444444431</v>
      </c>
      <c r="BF53" t="e">
        <f t="shared" ca="1" si="3"/>
        <v>#VALUE!</v>
      </c>
      <c r="BG53" t="e">
        <f t="shared" ca="1" si="10"/>
        <v>#VALUE!</v>
      </c>
    </row>
    <row r="54" spans="1:59" ht="12" customHeight="1" x14ac:dyDescent="0.2">
      <c r="A54" s="32" t="str">
        <f>LEFT('Input csv'!A151,10)</f>
        <v/>
      </c>
      <c r="B54" s="19" t="e">
        <f t="shared" si="11"/>
        <v>#VALUE!</v>
      </c>
      <c r="C54" s="3">
        <f>'Input csv'!B151</f>
        <v>0</v>
      </c>
      <c r="D54" s="3">
        <f>'Input csv'!C151</f>
        <v>0</v>
      </c>
      <c r="E54" s="3">
        <f>'Input csv'!D151</f>
        <v>0</v>
      </c>
      <c r="F54" s="4">
        <f>'Input csv'!E151</f>
        <v>0</v>
      </c>
      <c r="G54" s="4">
        <f>'Input csv'!F151</f>
        <v>0</v>
      </c>
      <c r="H54" s="5">
        <f>'Input csv'!G151</f>
        <v>0</v>
      </c>
      <c r="I54" s="4">
        <f>'Input csv'!H151</f>
        <v>0</v>
      </c>
      <c r="J54" s="4">
        <f>'Input csv'!I151</f>
        <v>0</v>
      </c>
      <c r="K54" s="4">
        <f>'Input csv'!J151</f>
        <v>0</v>
      </c>
      <c r="L54" s="4">
        <f>'Input csv'!K151</f>
        <v>0</v>
      </c>
      <c r="M54" s="4">
        <f>'Input csv'!L151</f>
        <v>0</v>
      </c>
      <c r="N54" s="11" t="str">
        <f>IF(W54=TRUE,"no wear",IF(S54=TRUE,"bed",IF(I54&gt;'Front Page'!$C$38,"vigorous",IF(I54&gt;'Front Page'!$C$37,"moderate",IF(I54&gt;'Front Page'!$C$36,"light","sedentary")))))</f>
        <v>no wear</v>
      </c>
      <c r="O54" s="13">
        <f t="shared" si="16"/>
        <v>0</v>
      </c>
      <c r="P54" s="4">
        <f>(J54+K54+L54)</f>
        <v>0</v>
      </c>
      <c r="Q54">
        <f t="shared" si="18"/>
        <v>0</v>
      </c>
      <c r="R54">
        <f>MEDIAN($P$1:P113)</f>
        <v>0</v>
      </c>
      <c r="S54" t="b">
        <f t="shared" si="5"/>
        <v>1</v>
      </c>
      <c r="T54" s="15">
        <f t="shared" si="6"/>
        <v>0</v>
      </c>
      <c r="U54" s="15">
        <f t="shared" si="17"/>
        <v>0</v>
      </c>
      <c r="V54" s="15">
        <f t="shared" si="22"/>
        <v>0</v>
      </c>
      <c r="W54" t="b">
        <f t="shared" si="19"/>
        <v>1</v>
      </c>
      <c r="X54">
        <f t="shared" si="20"/>
        <v>1</v>
      </c>
      <c r="Y54">
        <f t="shared" si="15"/>
        <v>12</v>
      </c>
      <c r="Z54">
        <f t="shared" si="7"/>
        <v>0</v>
      </c>
      <c r="AA54" t="str">
        <f t="shared" si="21"/>
        <v/>
      </c>
      <c r="AB54" t="str">
        <f t="shared" si="9"/>
        <v/>
      </c>
      <c r="AI54" s="15"/>
      <c r="BE54" s="19">
        <f t="shared" si="13"/>
        <v>0.20138888888888876</v>
      </c>
      <c r="BF54" t="e">
        <f t="shared" ca="1" si="3"/>
        <v>#VALUE!</v>
      </c>
      <c r="BG54" t="e">
        <f t="shared" ca="1" si="10"/>
        <v>#VALUE!</v>
      </c>
    </row>
    <row r="55" spans="1:59" ht="12" customHeight="1" x14ac:dyDescent="0.2">
      <c r="A55" s="32" t="str">
        <f>LEFT('Input csv'!A152,10)</f>
        <v/>
      </c>
      <c r="B55" s="19" t="e">
        <f t="shared" si="11"/>
        <v>#VALUE!</v>
      </c>
      <c r="C55" s="3">
        <f>'Input csv'!B152</f>
        <v>0</v>
      </c>
      <c r="D55" s="3">
        <f>'Input csv'!C152</f>
        <v>0</v>
      </c>
      <c r="E55" s="3">
        <f>'Input csv'!D152</f>
        <v>0</v>
      </c>
      <c r="F55" s="4">
        <f>'Input csv'!E152</f>
        <v>0</v>
      </c>
      <c r="G55" s="4">
        <f>'Input csv'!F152</f>
        <v>0</v>
      </c>
      <c r="H55" s="5">
        <f>'Input csv'!G152</f>
        <v>0</v>
      </c>
      <c r="I55" s="4">
        <f>'Input csv'!H152</f>
        <v>0</v>
      </c>
      <c r="J55" s="4">
        <f>'Input csv'!I152</f>
        <v>0</v>
      </c>
      <c r="K55" s="4">
        <f>'Input csv'!J152</f>
        <v>0</v>
      </c>
      <c r="L55" s="4">
        <f>'Input csv'!K152</f>
        <v>0</v>
      </c>
      <c r="M55" s="4">
        <f>'Input csv'!L152</f>
        <v>0</v>
      </c>
      <c r="N55" s="11" t="str">
        <f>IF(W55=TRUE,"no wear",IF(S55=TRUE,"bed",IF(I55&gt;'Front Page'!$C$38,"vigorous",IF(I55&gt;'Front Page'!$C$37,"moderate",IF(I55&gt;'Front Page'!$C$36,"light","sedentary")))))</f>
        <v>no wear</v>
      </c>
      <c r="O55" s="13">
        <f t="shared" si="16"/>
        <v>0</v>
      </c>
      <c r="P55" s="4">
        <f t="shared" si="4"/>
        <v>0</v>
      </c>
      <c r="Q55">
        <f t="shared" si="18"/>
        <v>0</v>
      </c>
      <c r="R55">
        <f>MEDIAN($P$1:P114)</f>
        <v>0</v>
      </c>
      <c r="S55" t="b">
        <f t="shared" si="5"/>
        <v>1</v>
      </c>
      <c r="T55" s="15">
        <f t="shared" si="6"/>
        <v>0</v>
      </c>
      <c r="U55" s="15">
        <f t="shared" si="17"/>
        <v>0</v>
      </c>
      <c r="V55" s="15">
        <f t="shared" si="22"/>
        <v>0</v>
      </c>
      <c r="W55" t="b">
        <f t="shared" si="19"/>
        <v>1</v>
      </c>
      <c r="X55">
        <f t="shared" si="20"/>
        <v>1</v>
      </c>
      <c r="Y55">
        <f t="shared" si="15"/>
        <v>12</v>
      </c>
      <c r="Z55">
        <f t="shared" si="7"/>
        <v>0</v>
      </c>
      <c r="AA55" t="str">
        <f t="shared" si="21"/>
        <v/>
      </c>
      <c r="AB55" t="str">
        <f t="shared" si="9"/>
        <v/>
      </c>
      <c r="AI55" s="15"/>
      <c r="BE55" s="19">
        <f t="shared" si="13"/>
        <v>0.2020833333333332</v>
      </c>
      <c r="BF55" t="e">
        <f t="shared" ca="1" si="3"/>
        <v>#VALUE!</v>
      </c>
      <c r="BG55" t="e">
        <f t="shared" ca="1" si="10"/>
        <v>#VALUE!</v>
      </c>
    </row>
    <row r="56" spans="1:59" ht="12" customHeight="1" x14ac:dyDescent="0.2">
      <c r="A56" s="32" t="str">
        <f>LEFT('Input csv'!A153,10)</f>
        <v/>
      </c>
      <c r="B56" s="19" t="e">
        <f t="shared" si="11"/>
        <v>#VALUE!</v>
      </c>
      <c r="C56" s="3">
        <f>'Input csv'!B153</f>
        <v>0</v>
      </c>
      <c r="D56" s="3">
        <f>'Input csv'!C153</f>
        <v>0</v>
      </c>
      <c r="E56" s="3">
        <f>'Input csv'!D153</f>
        <v>0</v>
      </c>
      <c r="F56" s="4">
        <f>'Input csv'!E153</f>
        <v>0</v>
      </c>
      <c r="G56" s="4">
        <f>'Input csv'!F153</f>
        <v>0</v>
      </c>
      <c r="H56" s="5">
        <f>'Input csv'!G153</f>
        <v>0</v>
      </c>
      <c r="I56" s="4">
        <f>'Input csv'!H153</f>
        <v>0</v>
      </c>
      <c r="J56" s="4">
        <f>'Input csv'!I153</f>
        <v>0</v>
      </c>
      <c r="K56" s="4">
        <f>'Input csv'!J153</f>
        <v>0</v>
      </c>
      <c r="L56" s="4">
        <f>'Input csv'!K153</f>
        <v>0</v>
      </c>
      <c r="M56" s="4">
        <f>'Input csv'!L153</f>
        <v>0</v>
      </c>
      <c r="N56" s="11" t="str">
        <f>IF(W56=TRUE,"no wear",IF(S56=TRUE,"bed",IF(I56&gt;'Front Page'!$C$38,"vigorous",IF(I56&gt;'Front Page'!$C$37,"moderate",IF(I56&gt;'Front Page'!$C$36,"light","sedentary")))))</f>
        <v>no wear</v>
      </c>
      <c r="O56" s="13">
        <f t="shared" si="16"/>
        <v>0</v>
      </c>
      <c r="P56" s="4">
        <f t="shared" si="4"/>
        <v>0</v>
      </c>
      <c r="Q56">
        <f t="shared" si="18"/>
        <v>0</v>
      </c>
      <c r="R56">
        <f>MEDIAN($P$1:P115)</f>
        <v>0</v>
      </c>
      <c r="S56" t="b">
        <f t="shared" si="5"/>
        <v>1</v>
      </c>
      <c r="T56" s="15">
        <f t="shared" si="6"/>
        <v>0</v>
      </c>
      <c r="U56" s="15">
        <f t="shared" si="17"/>
        <v>0</v>
      </c>
      <c r="V56" s="15">
        <f t="shared" si="22"/>
        <v>0</v>
      </c>
      <c r="W56" t="b">
        <f t="shared" si="19"/>
        <v>1</v>
      </c>
      <c r="X56">
        <f t="shared" si="20"/>
        <v>1</v>
      </c>
      <c r="Y56">
        <f t="shared" si="15"/>
        <v>12</v>
      </c>
      <c r="Z56">
        <f t="shared" si="7"/>
        <v>0</v>
      </c>
      <c r="AA56" t="str">
        <f t="shared" si="21"/>
        <v/>
      </c>
      <c r="AB56" t="str">
        <f t="shared" si="9"/>
        <v/>
      </c>
      <c r="AI56" s="15"/>
      <c r="BE56" s="19">
        <f t="shared" si="13"/>
        <v>0.20277777777777764</v>
      </c>
      <c r="BF56" t="e">
        <f t="shared" ca="1" si="3"/>
        <v>#VALUE!</v>
      </c>
      <c r="BG56" t="e">
        <f t="shared" ca="1" si="10"/>
        <v>#VALUE!</v>
      </c>
    </row>
    <row r="57" spans="1:59" ht="12" customHeight="1" x14ac:dyDescent="0.2">
      <c r="A57" s="32" t="str">
        <f>LEFT('Input csv'!A154,10)</f>
        <v/>
      </c>
      <c r="B57" s="19" t="e">
        <f t="shared" si="11"/>
        <v>#VALUE!</v>
      </c>
      <c r="C57" s="3">
        <f>'Input csv'!B154</f>
        <v>0</v>
      </c>
      <c r="D57" s="3">
        <f>'Input csv'!C154</f>
        <v>0</v>
      </c>
      <c r="E57" s="3">
        <f>'Input csv'!D154</f>
        <v>0</v>
      </c>
      <c r="F57" s="4">
        <f>'Input csv'!E154</f>
        <v>0</v>
      </c>
      <c r="G57" s="4">
        <f>'Input csv'!F154</f>
        <v>0</v>
      </c>
      <c r="H57" s="5">
        <f>'Input csv'!G154</f>
        <v>0</v>
      </c>
      <c r="I57" s="4">
        <f>'Input csv'!H154</f>
        <v>0</v>
      </c>
      <c r="J57" s="4">
        <f>'Input csv'!I154</f>
        <v>0</v>
      </c>
      <c r="K57" s="4">
        <f>'Input csv'!J154</f>
        <v>0</v>
      </c>
      <c r="L57" s="4">
        <f>'Input csv'!K154</f>
        <v>0</v>
      </c>
      <c r="M57" s="4">
        <f>'Input csv'!L154</f>
        <v>0</v>
      </c>
      <c r="N57" s="11" t="str">
        <f>IF(W57=TRUE,"no wear",IF(S57=TRUE,"bed",IF(I57&gt;'Front Page'!$C$38,"vigorous",IF(I57&gt;'Front Page'!$C$37,"moderate",IF(I57&gt;'Front Page'!$C$36,"light","sedentary")))))</f>
        <v>no wear</v>
      </c>
      <c r="O57" s="13">
        <f t="shared" si="16"/>
        <v>0</v>
      </c>
      <c r="P57" s="4">
        <f t="shared" si="4"/>
        <v>0</v>
      </c>
      <c r="Q57">
        <f t="shared" si="18"/>
        <v>0</v>
      </c>
      <c r="R57">
        <f>MEDIAN($P$1:P116)</f>
        <v>0</v>
      </c>
      <c r="S57" t="b">
        <f t="shared" si="5"/>
        <v>1</v>
      </c>
      <c r="T57" s="15">
        <f t="shared" si="6"/>
        <v>0</v>
      </c>
      <c r="U57" s="15">
        <f t="shared" si="17"/>
        <v>0</v>
      </c>
      <c r="V57" s="15">
        <f t="shared" si="22"/>
        <v>0</v>
      </c>
      <c r="W57" t="b">
        <f t="shared" si="19"/>
        <v>1</v>
      </c>
      <c r="X57">
        <f t="shared" si="20"/>
        <v>1</v>
      </c>
      <c r="Y57">
        <f t="shared" si="15"/>
        <v>12</v>
      </c>
      <c r="Z57">
        <f t="shared" si="7"/>
        <v>0</v>
      </c>
      <c r="AA57" t="str">
        <f t="shared" si="21"/>
        <v/>
      </c>
      <c r="AB57" t="str">
        <f t="shared" si="9"/>
        <v/>
      </c>
      <c r="AI57" s="15"/>
      <c r="BE57" s="19">
        <f t="shared" si="13"/>
        <v>0.20347222222222208</v>
      </c>
      <c r="BF57" t="e">
        <f t="shared" ca="1" si="3"/>
        <v>#VALUE!</v>
      </c>
      <c r="BG57" t="e">
        <f t="shared" ca="1" si="10"/>
        <v>#VALUE!</v>
      </c>
    </row>
    <row r="58" spans="1:59" ht="12" customHeight="1" x14ac:dyDescent="0.2">
      <c r="A58" s="32" t="str">
        <f>LEFT('Input csv'!A155,10)</f>
        <v/>
      </c>
      <c r="B58" s="19" t="e">
        <f t="shared" si="11"/>
        <v>#VALUE!</v>
      </c>
      <c r="C58" s="3">
        <f>'Input csv'!B155</f>
        <v>0</v>
      </c>
      <c r="D58" s="3">
        <f>'Input csv'!C155</f>
        <v>0</v>
      </c>
      <c r="E58" s="3">
        <f>'Input csv'!D155</f>
        <v>0</v>
      </c>
      <c r="F58" s="4">
        <f>'Input csv'!E155</f>
        <v>0</v>
      </c>
      <c r="G58" s="4">
        <f>'Input csv'!F155</f>
        <v>0</v>
      </c>
      <c r="H58" s="5">
        <f>'Input csv'!G155</f>
        <v>0</v>
      </c>
      <c r="I58" s="4">
        <f>'Input csv'!H155</f>
        <v>0</v>
      </c>
      <c r="J58" s="4">
        <f>'Input csv'!I155</f>
        <v>0</v>
      </c>
      <c r="K58" s="4">
        <f>'Input csv'!J155</f>
        <v>0</v>
      </c>
      <c r="L58" s="4">
        <f>'Input csv'!K155</f>
        <v>0</v>
      </c>
      <c r="M58" s="4">
        <f>'Input csv'!L155</f>
        <v>0</v>
      </c>
      <c r="N58" s="11" t="str">
        <f>IF(W58=TRUE,"no wear",IF(S58=TRUE,"bed",IF(I58&gt;'Front Page'!$C$38,"vigorous",IF(I58&gt;'Front Page'!$C$37,"moderate",IF(I58&gt;'Front Page'!$C$36,"light","sedentary")))))</f>
        <v>no wear</v>
      </c>
      <c r="O58" s="13">
        <f t="shared" si="16"/>
        <v>0</v>
      </c>
      <c r="P58" s="4">
        <f t="shared" si="4"/>
        <v>0</v>
      </c>
      <c r="Q58">
        <f t="shared" si="18"/>
        <v>0</v>
      </c>
      <c r="R58">
        <f>MEDIAN($P$1:P117)</f>
        <v>0</v>
      </c>
      <c r="S58" t="b">
        <f t="shared" si="5"/>
        <v>1</v>
      </c>
      <c r="T58" s="15">
        <f t="shared" si="6"/>
        <v>0</v>
      </c>
      <c r="U58" s="15">
        <f t="shared" si="17"/>
        <v>0</v>
      </c>
      <c r="V58" s="15">
        <f t="shared" si="22"/>
        <v>0</v>
      </c>
      <c r="W58" t="b">
        <f t="shared" si="19"/>
        <v>1</v>
      </c>
      <c r="X58">
        <f t="shared" si="20"/>
        <v>1</v>
      </c>
      <c r="Y58">
        <f t="shared" si="15"/>
        <v>12</v>
      </c>
      <c r="Z58">
        <f t="shared" si="7"/>
        <v>0</v>
      </c>
      <c r="AA58" t="str">
        <f t="shared" si="21"/>
        <v/>
      </c>
      <c r="AB58" t="str">
        <f t="shared" si="9"/>
        <v/>
      </c>
      <c r="AI58" s="15"/>
      <c r="BE58" s="19">
        <f t="shared" si="13"/>
        <v>0.20416666666666652</v>
      </c>
      <c r="BF58" t="e">
        <f t="shared" ca="1" si="3"/>
        <v>#VALUE!</v>
      </c>
      <c r="BG58" t="e">
        <f t="shared" ca="1" si="10"/>
        <v>#VALUE!</v>
      </c>
    </row>
    <row r="59" spans="1:59" ht="12" customHeight="1" x14ac:dyDescent="0.2">
      <c r="A59" s="32" t="str">
        <f>LEFT('Input csv'!A156,10)</f>
        <v/>
      </c>
      <c r="B59" s="19" t="e">
        <f t="shared" si="11"/>
        <v>#VALUE!</v>
      </c>
      <c r="C59" s="3">
        <f>'Input csv'!B156</f>
        <v>0</v>
      </c>
      <c r="D59" s="3">
        <f>'Input csv'!C156</f>
        <v>0</v>
      </c>
      <c r="E59" s="3">
        <f>'Input csv'!D156</f>
        <v>0</v>
      </c>
      <c r="F59" s="4">
        <f>'Input csv'!E156</f>
        <v>0</v>
      </c>
      <c r="G59" s="4">
        <f>'Input csv'!F156</f>
        <v>0</v>
      </c>
      <c r="H59" s="5">
        <f>'Input csv'!G156</f>
        <v>0</v>
      </c>
      <c r="I59" s="4">
        <f>'Input csv'!H156</f>
        <v>0</v>
      </c>
      <c r="J59" s="4">
        <f>'Input csv'!I156</f>
        <v>0</v>
      </c>
      <c r="K59" s="4">
        <f>'Input csv'!J156</f>
        <v>0</v>
      </c>
      <c r="L59" s="4">
        <f>'Input csv'!K156</f>
        <v>0</v>
      </c>
      <c r="M59" s="4">
        <f>'Input csv'!L156</f>
        <v>0</v>
      </c>
      <c r="N59" s="11" t="str">
        <f>IF(W59=TRUE,"no wear",IF(S59=TRUE,"bed",IF(I59&gt;'Front Page'!$C$38,"vigorous",IF(I59&gt;'Front Page'!$C$37,"moderate",IF(I59&gt;'Front Page'!$C$36,"light","sedentary")))))</f>
        <v>no wear</v>
      </c>
      <c r="O59" s="13">
        <f t="shared" si="16"/>
        <v>0</v>
      </c>
      <c r="P59" s="4">
        <f t="shared" si="4"/>
        <v>0</v>
      </c>
      <c r="Q59">
        <f t="shared" si="18"/>
        <v>0</v>
      </c>
      <c r="R59">
        <f>MEDIAN($P$1:P118)</f>
        <v>0</v>
      </c>
      <c r="S59" t="b">
        <f t="shared" si="5"/>
        <v>1</v>
      </c>
      <c r="T59" s="15">
        <f t="shared" si="6"/>
        <v>0</v>
      </c>
      <c r="U59" s="15">
        <f t="shared" si="17"/>
        <v>0</v>
      </c>
      <c r="V59" s="15">
        <f t="shared" si="22"/>
        <v>0</v>
      </c>
      <c r="W59" t="b">
        <f t="shared" si="19"/>
        <v>1</v>
      </c>
      <c r="X59">
        <f t="shared" si="20"/>
        <v>1</v>
      </c>
      <c r="Y59">
        <f t="shared" si="15"/>
        <v>12</v>
      </c>
      <c r="Z59">
        <f t="shared" si="7"/>
        <v>0</v>
      </c>
      <c r="AA59" t="str">
        <f t="shared" si="21"/>
        <v/>
      </c>
      <c r="AB59" t="str">
        <f t="shared" si="9"/>
        <v/>
      </c>
      <c r="AI59" s="15"/>
      <c r="BE59" s="19">
        <f t="shared" si="13"/>
        <v>0.20486111111111097</v>
      </c>
      <c r="BF59" t="e">
        <f t="shared" ca="1" si="3"/>
        <v>#VALUE!</v>
      </c>
      <c r="BG59" t="e">
        <f t="shared" ca="1" si="10"/>
        <v>#VALUE!</v>
      </c>
    </row>
    <row r="60" spans="1:59" ht="12" customHeight="1" x14ac:dyDescent="0.2">
      <c r="A60" s="32" t="str">
        <f>LEFT('Input csv'!A157,10)</f>
        <v/>
      </c>
      <c r="B60" s="19" t="e">
        <f t="shared" si="11"/>
        <v>#VALUE!</v>
      </c>
      <c r="C60" s="3">
        <f>'Input csv'!B157</f>
        <v>0</v>
      </c>
      <c r="D60" s="3">
        <f>'Input csv'!C157</f>
        <v>0</v>
      </c>
      <c r="E60" s="3">
        <f>'Input csv'!D157</f>
        <v>0</v>
      </c>
      <c r="F60" s="4">
        <f>'Input csv'!E157</f>
        <v>0</v>
      </c>
      <c r="G60" s="4">
        <f>'Input csv'!F157</f>
        <v>0</v>
      </c>
      <c r="H60" s="5">
        <f>'Input csv'!G157</f>
        <v>0</v>
      </c>
      <c r="I60" s="4">
        <f>'Input csv'!H157</f>
        <v>0</v>
      </c>
      <c r="J60" s="4">
        <f>'Input csv'!I157</f>
        <v>0</v>
      </c>
      <c r="K60" s="4">
        <f>'Input csv'!J157</f>
        <v>0</v>
      </c>
      <c r="L60" s="4">
        <f>'Input csv'!K157</f>
        <v>0</v>
      </c>
      <c r="M60" s="4">
        <f>'Input csv'!L157</f>
        <v>0</v>
      </c>
      <c r="N60" s="11" t="str">
        <f>IF(W60=TRUE,"no wear",IF(S60=TRUE,"bed",IF(I60&gt;'Front Page'!$C$38,"vigorous",IF(I60&gt;'Front Page'!$C$37,"moderate",IF(I60&gt;'Front Page'!$C$36,"light","sedentary")))))</f>
        <v>no wear</v>
      </c>
      <c r="O60" s="13">
        <f t="shared" si="16"/>
        <v>0</v>
      </c>
      <c r="P60" s="4">
        <f t="shared" si="4"/>
        <v>0</v>
      </c>
      <c r="Q60">
        <f t="shared" si="18"/>
        <v>0</v>
      </c>
      <c r="R60">
        <f>MEDIAN($P$1:P119)</f>
        <v>0</v>
      </c>
      <c r="S60" t="b">
        <f t="shared" si="5"/>
        <v>1</v>
      </c>
      <c r="T60" s="15">
        <f t="shared" si="6"/>
        <v>0</v>
      </c>
      <c r="U60" s="15">
        <f t="shared" si="17"/>
        <v>0</v>
      </c>
      <c r="V60" s="15">
        <f t="shared" si="22"/>
        <v>0</v>
      </c>
      <c r="W60" t="b">
        <f t="shared" si="19"/>
        <v>1</v>
      </c>
      <c r="X60">
        <f t="shared" si="20"/>
        <v>1</v>
      </c>
      <c r="Y60">
        <f t="shared" si="15"/>
        <v>12</v>
      </c>
      <c r="Z60">
        <f t="shared" si="7"/>
        <v>0</v>
      </c>
      <c r="AA60" t="str">
        <f t="shared" si="21"/>
        <v/>
      </c>
      <c r="AB60" t="str">
        <f t="shared" si="9"/>
        <v/>
      </c>
      <c r="AI60" s="15"/>
      <c r="BE60" s="19">
        <f t="shared" si="13"/>
        <v>0.20555555555555541</v>
      </c>
      <c r="BF60" t="e">
        <f t="shared" ca="1" si="3"/>
        <v>#VALUE!</v>
      </c>
      <c r="BG60" t="e">
        <f t="shared" ca="1" si="10"/>
        <v>#VALUE!</v>
      </c>
    </row>
    <row r="61" spans="1:59" ht="12" customHeight="1" x14ac:dyDescent="0.2">
      <c r="A61" s="32" t="str">
        <f>LEFT('Input csv'!A158,10)</f>
        <v/>
      </c>
      <c r="B61" s="19" t="e">
        <f t="shared" si="11"/>
        <v>#VALUE!</v>
      </c>
      <c r="C61" s="3">
        <f>'Input csv'!B158</f>
        <v>0</v>
      </c>
      <c r="D61" s="3">
        <f>'Input csv'!C158</f>
        <v>0</v>
      </c>
      <c r="E61" s="3">
        <f>'Input csv'!D158</f>
        <v>0</v>
      </c>
      <c r="F61" s="4">
        <f>'Input csv'!E158</f>
        <v>0</v>
      </c>
      <c r="G61" s="4">
        <f>'Input csv'!F158</f>
        <v>0</v>
      </c>
      <c r="H61" s="5">
        <f>'Input csv'!G158</f>
        <v>0</v>
      </c>
      <c r="I61" s="4">
        <f>'Input csv'!H158</f>
        <v>0</v>
      </c>
      <c r="J61" s="4">
        <f>'Input csv'!I158</f>
        <v>0</v>
      </c>
      <c r="K61" s="4">
        <f>'Input csv'!J158</f>
        <v>0</v>
      </c>
      <c r="L61" s="4">
        <f>'Input csv'!K158</f>
        <v>0</v>
      </c>
      <c r="M61" s="4">
        <f>'Input csv'!L158</f>
        <v>0</v>
      </c>
      <c r="N61" s="11" t="str">
        <f>IF(W61=TRUE,"no wear",IF(S61=TRUE,"bed",IF(I61&gt;'Front Page'!$C$38,"vigorous",IF(I61&gt;'Front Page'!$C$37,"moderate",IF(I61&gt;'Front Page'!$C$36,"light","sedentary")))))</f>
        <v>no wear</v>
      </c>
      <c r="O61" s="13">
        <f t="shared" si="16"/>
        <v>0</v>
      </c>
      <c r="P61" s="4">
        <f t="shared" si="4"/>
        <v>0</v>
      </c>
      <c r="Q61">
        <f t="shared" si="18"/>
        <v>0</v>
      </c>
      <c r="R61">
        <f>MEDIAN($P$1:P120)</f>
        <v>0</v>
      </c>
      <c r="S61" t="b">
        <f t="shared" si="5"/>
        <v>1</v>
      </c>
      <c r="T61" s="15">
        <f t="shared" si="6"/>
        <v>0</v>
      </c>
      <c r="U61" s="15">
        <f t="shared" si="17"/>
        <v>0</v>
      </c>
      <c r="V61" s="15">
        <f t="shared" si="22"/>
        <v>0</v>
      </c>
      <c r="W61" t="b">
        <f t="shared" si="19"/>
        <v>1</v>
      </c>
      <c r="X61">
        <f t="shared" si="20"/>
        <v>1</v>
      </c>
      <c r="Y61">
        <f t="shared" si="15"/>
        <v>12</v>
      </c>
      <c r="Z61">
        <f t="shared" si="7"/>
        <v>0</v>
      </c>
      <c r="AA61" t="str">
        <f t="shared" si="21"/>
        <v/>
      </c>
      <c r="AB61" t="str">
        <f t="shared" si="9"/>
        <v/>
      </c>
      <c r="AI61" s="15"/>
      <c r="BE61" s="19">
        <f t="shared" si="13"/>
        <v>0.20624999999999985</v>
      </c>
      <c r="BF61" t="e">
        <f t="shared" ca="1" si="3"/>
        <v>#VALUE!</v>
      </c>
      <c r="BG61" t="e">
        <f t="shared" ca="1" si="10"/>
        <v>#VALUE!</v>
      </c>
    </row>
    <row r="62" spans="1:59" ht="12" customHeight="1" x14ac:dyDescent="0.2">
      <c r="A62" s="32" t="str">
        <f>LEFT('Input csv'!A159,10)</f>
        <v/>
      </c>
      <c r="B62" s="19" t="e">
        <f t="shared" si="11"/>
        <v>#VALUE!</v>
      </c>
      <c r="C62" s="3">
        <f>'Input csv'!B159</f>
        <v>0</v>
      </c>
      <c r="D62" s="3">
        <f>'Input csv'!C159</f>
        <v>0</v>
      </c>
      <c r="E62" s="3">
        <f>'Input csv'!D159</f>
        <v>0</v>
      </c>
      <c r="F62" s="4">
        <f>'Input csv'!E159</f>
        <v>0</v>
      </c>
      <c r="G62" s="4">
        <f>'Input csv'!F159</f>
        <v>0</v>
      </c>
      <c r="H62" s="5">
        <f>'Input csv'!G159</f>
        <v>0</v>
      </c>
      <c r="I62" s="4">
        <f>'Input csv'!H159</f>
        <v>0</v>
      </c>
      <c r="J62" s="4">
        <f>'Input csv'!I159</f>
        <v>0</v>
      </c>
      <c r="K62" s="4">
        <f>'Input csv'!J159</f>
        <v>0</v>
      </c>
      <c r="L62" s="4">
        <f>'Input csv'!K159</f>
        <v>0</v>
      </c>
      <c r="M62" s="4">
        <f>'Input csv'!L159</f>
        <v>0</v>
      </c>
      <c r="N62" s="11" t="str">
        <f>IF(W62=TRUE,"no wear",IF(S62=TRUE,"bed",IF(I62&gt;'Front Page'!$C$38,"vigorous",IF(I62&gt;'Front Page'!$C$37,"moderate",IF(I62&gt;'Front Page'!$C$36,"light","sedentary")))))</f>
        <v>no wear</v>
      </c>
      <c r="O62" s="13">
        <f t="shared" si="16"/>
        <v>0</v>
      </c>
      <c r="P62" s="4">
        <f t="shared" si="4"/>
        <v>0</v>
      </c>
      <c r="Q62">
        <f t="shared" si="18"/>
        <v>0</v>
      </c>
      <c r="R62">
        <f>MEDIAN($P$1:P121)</f>
        <v>0</v>
      </c>
      <c r="S62" t="b">
        <f t="shared" si="5"/>
        <v>1</v>
      </c>
      <c r="T62" s="15">
        <f t="shared" si="6"/>
        <v>0</v>
      </c>
      <c r="U62" s="15">
        <f t="shared" si="17"/>
        <v>0</v>
      </c>
      <c r="V62" s="15">
        <f t="shared" si="22"/>
        <v>0</v>
      </c>
      <c r="W62" t="b">
        <f t="shared" si="19"/>
        <v>1</v>
      </c>
      <c r="X62">
        <f t="shared" si="20"/>
        <v>1</v>
      </c>
      <c r="Y62">
        <f t="shared" si="15"/>
        <v>12</v>
      </c>
      <c r="Z62">
        <f t="shared" si="7"/>
        <v>0</v>
      </c>
      <c r="AA62" t="str">
        <f t="shared" si="21"/>
        <v/>
      </c>
      <c r="AB62" t="str">
        <f t="shared" si="9"/>
        <v/>
      </c>
      <c r="AI62" s="15"/>
      <c r="BE62" s="19">
        <f t="shared" si="13"/>
        <v>0.20694444444444429</v>
      </c>
      <c r="BF62" t="e">
        <f t="shared" ca="1" si="3"/>
        <v>#VALUE!</v>
      </c>
      <c r="BG62" t="e">
        <f t="shared" ca="1" si="10"/>
        <v>#VALUE!</v>
      </c>
    </row>
    <row r="63" spans="1:59" ht="12" customHeight="1" x14ac:dyDescent="0.2">
      <c r="A63" s="32" t="str">
        <f>LEFT('Input csv'!A160,10)</f>
        <v/>
      </c>
      <c r="B63" s="19" t="e">
        <f t="shared" si="11"/>
        <v>#VALUE!</v>
      </c>
      <c r="C63" s="3">
        <f>'Input csv'!B160</f>
        <v>0</v>
      </c>
      <c r="D63" s="3">
        <f>'Input csv'!C160</f>
        <v>0</v>
      </c>
      <c r="E63" s="3">
        <f>'Input csv'!D160</f>
        <v>0</v>
      </c>
      <c r="F63" s="4">
        <f>'Input csv'!E160</f>
        <v>0</v>
      </c>
      <c r="G63" s="4">
        <f>'Input csv'!F160</f>
        <v>0</v>
      </c>
      <c r="H63" s="5">
        <f>'Input csv'!G160</f>
        <v>0</v>
      </c>
      <c r="I63" s="4">
        <f>'Input csv'!H160</f>
        <v>0</v>
      </c>
      <c r="J63" s="4">
        <f>'Input csv'!I160</f>
        <v>0</v>
      </c>
      <c r="K63" s="4">
        <f>'Input csv'!J160</f>
        <v>0</v>
      </c>
      <c r="L63" s="4">
        <f>'Input csv'!K160</f>
        <v>0</v>
      </c>
      <c r="M63" s="4">
        <f>'Input csv'!L160</f>
        <v>0</v>
      </c>
      <c r="N63" s="11" t="str">
        <f>IF(W63=TRUE,"no wear",IF(S63=TRUE,"bed",IF(I63&gt;'Front Page'!$C$38,"vigorous",IF(I63&gt;'Front Page'!$C$37,"moderate",IF(I63&gt;'Front Page'!$C$36,"light","sedentary")))))</f>
        <v>no wear</v>
      </c>
      <c r="O63" s="13">
        <f t="shared" si="16"/>
        <v>0</v>
      </c>
      <c r="P63" s="4">
        <f t="shared" si="4"/>
        <v>0</v>
      </c>
      <c r="Q63">
        <f t="shared" si="18"/>
        <v>0</v>
      </c>
      <c r="R63">
        <f>MEDIAN($P$1:P122)</f>
        <v>0</v>
      </c>
      <c r="S63" t="b">
        <f t="shared" si="5"/>
        <v>1</v>
      </c>
      <c r="T63" s="15">
        <f t="shared" si="6"/>
        <v>0</v>
      </c>
      <c r="U63" s="15">
        <f t="shared" si="17"/>
        <v>0</v>
      </c>
      <c r="V63" s="15">
        <f t="shared" si="22"/>
        <v>0</v>
      </c>
      <c r="W63" t="b">
        <f t="shared" si="19"/>
        <v>1</v>
      </c>
      <c r="X63">
        <f t="shared" si="20"/>
        <v>1</v>
      </c>
      <c r="Y63">
        <f t="shared" si="15"/>
        <v>12</v>
      </c>
      <c r="Z63">
        <f t="shared" si="7"/>
        <v>0</v>
      </c>
      <c r="AA63" t="str">
        <f t="shared" si="21"/>
        <v/>
      </c>
      <c r="AB63" t="str">
        <f t="shared" si="9"/>
        <v/>
      </c>
      <c r="AI63" s="15"/>
      <c r="BE63" s="19">
        <f t="shared" si="13"/>
        <v>0.20763888888888873</v>
      </c>
      <c r="BF63" t="e">
        <f t="shared" ca="1" si="3"/>
        <v>#VALUE!</v>
      </c>
      <c r="BG63" t="e">
        <f t="shared" ca="1" si="10"/>
        <v>#VALUE!</v>
      </c>
    </row>
    <row r="64" spans="1:59" ht="12" customHeight="1" x14ac:dyDescent="0.2">
      <c r="A64" s="32" t="str">
        <f>LEFT('Input csv'!A161,10)</f>
        <v/>
      </c>
      <c r="B64" s="19" t="e">
        <f t="shared" si="11"/>
        <v>#VALUE!</v>
      </c>
      <c r="C64" s="3">
        <f>'Input csv'!B161</f>
        <v>0</v>
      </c>
      <c r="D64" s="3">
        <f>'Input csv'!C161</f>
        <v>0</v>
      </c>
      <c r="E64" s="3">
        <f>'Input csv'!D161</f>
        <v>0</v>
      </c>
      <c r="F64" s="4">
        <f>'Input csv'!E161</f>
        <v>0</v>
      </c>
      <c r="G64" s="4">
        <f>'Input csv'!F161</f>
        <v>0</v>
      </c>
      <c r="H64" s="5">
        <f>'Input csv'!G161</f>
        <v>0</v>
      </c>
      <c r="I64" s="4">
        <f>'Input csv'!H161</f>
        <v>0</v>
      </c>
      <c r="J64" s="4">
        <f>'Input csv'!I161</f>
        <v>0</v>
      </c>
      <c r="K64" s="4">
        <f>'Input csv'!J161</f>
        <v>0</v>
      </c>
      <c r="L64" s="4">
        <f>'Input csv'!K161</f>
        <v>0</v>
      </c>
      <c r="M64" s="4">
        <f>'Input csv'!L161</f>
        <v>0</v>
      </c>
      <c r="N64" s="11" t="str">
        <f>IF(W64=TRUE,"no wear",IF(S64=TRUE,"bed",IF(I64&gt;'Front Page'!$C$38,"vigorous",IF(I64&gt;'Front Page'!$C$37,"moderate",IF(I64&gt;'Front Page'!$C$36,"light","sedentary")))))</f>
        <v>no wear</v>
      </c>
      <c r="O64" s="13">
        <f t="shared" si="16"/>
        <v>0</v>
      </c>
      <c r="P64" s="4">
        <f t="shared" si="4"/>
        <v>0</v>
      </c>
      <c r="Q64">
        <f t="shared" si="18"/>
        <v>0</v>
      </c>
      <c r="R64">
        <f>MEDIAN($P$1:P123)</f>
        <v>0</v>
      </c>
      <c r="S64" t="b">
        <f t="shared" si="5"/>
        <v>1</v>
      </c>
      <c r="T64" s="15">
        <f t="shared" si="6"/>
        <v>0</v>
      </c>
      <c r="U64" s="15">
        <f t="shared" si="17"/>
        <v>0</v>
      </c>
      <c r="V64" s="15">
        <f t="shared" si="22"/>
        <v>0</v>
      </c>
      <c r="W64" t="b">
        <f t="shared" si="19"/>
        <v>1</v>
      </c>
      <c r="X64">
        <f t="shared" si="20"/>
        <v>1</v>
      </c>
      <c r="Y64">
        <f t="shared" si="15"/>
        <v>12</v>
      </c>
      <c r="Z64">
        <f t="shared" si="7"/>
        <v>0</v>
      </c>
      <c r="AA64" t="str">
        <f t="shared" si="21"/>
        <v/>
      </c>
      <c r="AB64" t="str">
        <f t="shared" si="9"/>
        <v/>
      </c>
      <c r="AI64" s="15"/>
      <c r="BE64" s="19">
        <f t="shared" si="13"/>
        <v>0.20833333333333318</v>
      </c>
      <c r="BF64" t="e">
        <f t="shared" ca="1" si="3"/>
        <v>#VALUE!</v>
      </c>
      <c r="BG64" t="e">
        <f t="shared" ca="1" si="10"/>
        <v>#VALUE!</v>
      </c>
    </row>
    <row r="65" spans="1:59" ht="12" customHeight="1" x14ac:dyDescent="0.2">
      <c r="A65" s="32" t="str">
        <f>LEFT('Input csv'!A162,10)</f>
        <v/>
      </c>
      <c r="B65" s="19" t="e">
        <f t="shared" si="11"/>
        <v>#VALUE!</v>
      </c>
      <c r="C65" s="3">
        <f>'Input csv'!B162</f>
        <v>0</v>
      </c>
      <c r="D65" s="3">
        <f>'Input csv'!C162</f>
        <v>0</v>
      </c>
      <c r="E65" s="3">
        <f>'Input csv'!D162</f>
        <v>0</v>
      </c>
      <c r="F65" s="4">
        <f>'Input csv'!E162</f>
        <v>0</v>
      </c>
      <c r="G65" s="4">
        <f>'Input csv'!F162</f>
        <v>0</v>
      </c>
      <c r="H65" s="5">
        <f>'Input csv'!G162</f>
        <v>0</v>
      </c>
      <c r="I65" s="4">
        <f>'Input csv'!H162</f>
        <v>0</v>
      </c>
      <c r="J65" s="4">
        <f>'Input csv'!I162</f>
        <v>0</v>
      </c>
      <c r="K65" s="4">
        <f>'Input csv'!J162</f>
        <v>0</v>
      </c>
      <c r="L65" s="4">
        <f>'Input csv'!K162</f>
        <v>0</v>
      </c>
      <c r="M65" s="4">
        <f>'Input csv'!L162</f>
        <v>0</v>
      </c>
      <c r="N65" s="11" t="str">
        <f>IF(W65=TRUE,"no wear",IF(S65=TRUE,"bed",IF(I65&gt;'Front Page'!$C$38,"vigorous",IF(I65&gt;'Front Page'!$C$37,"moderate",IF(I65&gt;'Front Page'!$C$36,"light","sedentary")))))</f>
        <v>no wear</v>
      </c>
      <c r="O65" s="13">
        <f t="shared" si="16"/>
        <v>0</v>
      </c>
      <c r="P65" s="4">
        <f t="shared" si="4"/>
        <v>0</v>
      </c>
      <c r="Q65">
        <f t="shared" si="18"/>
        <v>0</v>
      </c>
      <c r="R65" s="4">
        <f>MEDIAN(P4:P124)</f>
        <v>0</v>
      </c>
      <c r="S65" t="b">
        <f t="shared" si="5"/>
        <v>1</v>
      </c>
      <c r="T65" s="15">
        <f t="shared" si="6"/>
        <v>0</v>
      </c>
      <c r="U65" s="15">
        <f t="shared" si="17"/>
        <v>0</v>
      </c>
      <c r="V65" s="15">
        <f t="shared" si="22"/>
        <v>0</v>
      </c>
      <c r="W65" t="b">
        <f t="shared" si="19"/>
        <v>1</v>
      </c>
      <c r="X65">
        <f t="shared" si="20"/>
        <v>1</v>
      </c>
      <c r="Y65">
        <f t="shared" si="15"/>
        <v>12</v>
      </c>
      <c r="Z65">
        <f t="shared" si="7"/>
        <v>0</v>
      </c>
      <c r="AA65" t="str">
        <f t="shared" si="21"/>
        <v/>
      </c>
      <c r="AB65" t="str">
        <f t="shared" si="9"/>
        <v/>
      </c>
      <c r="AI65" s="15"/>
      <c r="BE65" s="19">
        <f t="shared" si="13"/>
        <v>0.20902777777777762</v>
      </c>
      <c r="BF65" t="e">
        <f t="shared" ca="1" si="3"/>
        <v>#VALUE!</v>
      </c>
      <c r="BG65" t="e">
        <f t="shared" ca="1" si="10"/>
        <v>#VALUE!</v>
      </c>
    </row>
    <row r="66" spans="1:59" ht="12" customHeight="1" x14ac:dyDescent="0.2">
      <c r="R66" s="4"/>
      <c r="BE66" s="19">
        <f t="shared" si="13"/>
        <v>0.20972222222222206</v>
      </c>
      <c r="BF66" t="e">
        <f t="shared" ca="1" si="3"/>
        <v>#VALUE!</v>
      </c>
      <c r="BG66" t="e">
        <f t="shared" ca="1" si="10"/>
        <v>#VALUE!</v>
      </c>
    </row>
    <row r="67" spans="1:59" ht="12" customHeight="1" x14ac:dyDescent="0.2">
      <c r="BE67" s="19">
        <f t="shared" si="13"/>
        <v>0.2104166666666665</v>
      </c>
      <c r="BF67" t="e">
        <f t="shared" ca="1" si="3"/>
        <v>#VALUE!</v>
      </c>
      <c r="BG67" t="e">
        <f t="shared" ca="1" si="10"/>
        <v>#VALUE!</v>
      </c>
    </row>
    <row r="68" spans="1:59" ht="12" customHeight="1" x14ac:dyDescent="0.2">
      <c r="BE68" s="19">
        <f t="shared" si="13"/>
        <v>0.21111111111111094</v>
      </c>
      <c r="BF68" t="e">
        <f t="shared" ref="BF68:BF131" ca="1" si="23">IF(BG68=0,AVERAGE(OFFSET(BH68,0,0,1,$A$1-1)),AVERAGE(BG68,OFFSET(BH68,0,0,1,$A$1-1)))</f>
        <v>#VALUE!</v>
      </c>
      <c r="BG68" t="e">
        <f t="shared" ca="1" si="10"/>
        <v>#VALUE!</v>
      </c>
    </row>
    <row r="69" spans="1:59" ht="12" customHeight="1" x14ac:dyDescent="0.2">
      <c r="BE69" s="19">
        <f t="shared" si="13"/>
        <v>0.21180555555555539</v>
      </c>
      <c r="BF69" t="e">
        <f t="shared" ca="1" si="23"/>
        <v>#VALUE!</v>
      </c>
      <c r="BG69" t="e">
        <f t="shared" ref="BG69:BG132" ca="1" si="24">IF(BE69&lt;$B$5-1/1440,0,OFFSET($AA$4,(BE69-$B$4)*1440,0,1,1))</f>
        <v>#VALUE!</v>
      </c>
    </row>
    <row r="70" spans="1:59" ht="12" customHeight="1" x14ac:dyDescent="0.2">
      <c r="BE70" s="19">
        <f t="shared" ref="BE70:BE133" si="25">BE69+1/1440</f>
        <v>0.21249999999999983</v>
      </c>
      <c r="BF70" t="e">
        <f t="shared" ca="1" si="23"/>
        <v>#VALUE!</v>
      </c>
      <c r="BG70" t="e">
        <f t="shared" ca="1" si="24"/>
        <v>#VALUE!</v>
      </c>
    </row>
    <row r="71" spans="1:59" ht="12" customHeight="1" x14ac:dyDescent="0.2">
      <c r="BE71" s="19">
        <f t="shared" si="25"/>
        <v>0.21319444444444427</v>
      </c>
      <c r="BF71" t="e">
        <f t="shared" ca="1" si="23"/>
        <v>#VALUE!</v>
      </c>
      <c r="BG71" t="e">
        <f t="shared" ca="1" si="24"/>
        <v>#VALUE!</v>
      </c>
    </row>
    <row r="72" spans="1:59" ht="12" customHeight="1" x14ac:dyDescent="0.2">
      <c r="BE72" s="19">
        <f t="shared" si="25"/>
        <v>0.21388888888888871</v>
      </c>
      <c r="BF72" t="e">
        <f t="shared" ca="1" si="23"/>
        <v>#VALUE!</v>
      </c>
      <c r="BG72" t="e">
        <f t="shared" ca="1" si="24"/>
        <v>#VALUE!</v>
      </c>
    </row>
    <row r="73" spans="1:59" ht="12" customHeight="1" x14ac:dyDescent="0.2">
      <c r="BE73" s="19">
        <f t="shared" si="25"/>
        <v>0.21458333333333315</v>
      </c>
      <c r="BF73" t="e">
        <f t="shared" ca="1" si="23"/>
        <v>#VALUE!</v>
      </c>
      <c r="BG73" t="e">
        <f t="shared" ca="1" si="24"/>
        <v>#VALUE!</v>
      </c>
    </row>
    <row r="74" spans="1:59" ht="12" customHeight="1" x14ac:dyDescent="0.2">
      <c r="BE74" s="19">
        <f t="shared" si="25"/>
        <v>0.2152777777777776</v>
      </c>
      <c r="BF74" t="e">
        <f t="shared" ca="1" si="23"/>
        <v>#VALUE!</v>
      </c>
      <c r="BG74" t="e">
        <f t="shared" ca="1" si="24"/>
        <v>#VALUE!</v>
      </c>
    </row>
    <row r="75" spans="1:59" ht="12" customHeight="1" x14ac:dyDescent="0.2">
      <c r="BE75" s="19">
        <f t="shared" si="25"/>
        <v>0.21597222222222204</v>
      </c>
      <c r="BF75" t="e">
        <f t="shared" ca="1" si="23"/>
        <v>#VALUE!</v>
      </c>
      <c r="BG75" t="e">
        <f t="shared" ca="1" si="24"/>
        <v>#VALUE!</v>
      </c>
    </row>
    <row r="76" spans="1:59" ht="12" customHeight="1" x14ac:dyDescent="0.2">
      <c r="BE76" s="19">
        <f t="shared" si="25"/>
        <v>0.21666666666666648</v>
      </c>
      <c r="BF76" t="e">
        <f t="shared" ca="1" si="23"/>
        <v>#VALUE!</v>
      </c>
      <c r="BG76" t="e">
        <f t="shared" ca="1" si="24"/>
        <v>#VALUE!</v>
      </c>
    </row>
    <row r="77" spans="1:59" ht="12" customHeight="1" x14ac:dyDescent="0.2">
      <c r="BE77" s="19">
        <f t="shared" si="25"/>
        <v>0.21736111111111092</v>
      </c>
      <c r="BF77" t="e">
        <f t="shared" ca="1" si="23"/>
        <v>#VALUE!</v>
      </c>
      <c r="BG77" t="e">
        <f t="shared" ca="1" si="24"/>
        <v>#VALUE!</v>
      </c>
    </row>
    <row r="78" spans="1:59" ht="12" customHeight="1" x14ac:dyDescent="0.2">
      <c r="BE78" s="19">
        <f t="shared" si="25"/>
        <v>0.21805555555555536</v>
      </c>
      <c r="BF78" t="e">
        <f t="shared" ca="1" si="23"/>
        <v>#VALUE!</v>
      </c>
      <c r="BG78" t="e">
        <f t="shared" ca="1" si="24"/>
        <v>#VALUE!</v>
      </c>
    </row>
    <row r="79" spans="1:59" ht="12" customHeight="1" x14ac:dyDescent="0.2">
      <c r="BE79" s="19">
        <f t="shared" si="25"/>
        <v>0.21874999999999981</v>
      </c>
      <c r="BF79" t="e">
        <f t="shared" ca="1" si="23"/>
        <v>#VALUE!</v>
      </c>
      <c r="BG79" t="e">
        <f t="shared" ca="1" si="24"/>
        <v>#VALUE!</v>
      </c>
    </row>
    <row r="80" spans="1:59" ht="12" customHeight="1" x14ac:dyDescent="0.2">
      <c r="BE80" s="19">
        <f t="shared" si="25"/>
        <v>0.21944444444444425</v>
      </c>
      <c r="BF80" t="e">
        <f t="shared" ca="1" si="23"/>
        <v>#VALUE!</v>
      </c>
      <c r="BG80" t="e">
        <f t="shared" ca="1" si="24"/>
        <v>#VALUE!</v>
      </c>
    </row>
    <row r="81" spans="57:59" ht="12" customHeight="1" x14ac:dyDescent="0.2">
      <c r="BE81" s="19">
        <f t="shared" si="25"/>
        <v>0.22013888888888869</v>
      </c>
      <c r="BF81" t="e">
        <f t="shared" ca="1" si="23"/>
        <v>#VALUE!</v>
      </c>
      <c r="BG81" t="e">
        <f t="shared" ca="1" si="24"/>
        <v>#VALUE!</v>
      </c>
    </row>
    <row r="82" spans="57:59" ht="12" customHeight="1" x14ac:dyDescent="0.2">
      <c r="BE82" s="19">
        <f t="shared" si="25"/>
        <v>0.22083333333333313</v>
      </c>
      <c r="BF82" t="e">
        <f t="shared" ca="1" si="23"/>
        <v>#VALUE!</v>
      </c>
      <c r="BG82" t="e">
        <f t="shared" ca="1" si="24"/>
        <v>#VALUE!</v>
      </c>
    </row>
    <row r="83" spans="57:59" ht="12" customHeight="1" x14ac:dyDescent="0.2">
      <c r="BE83" s="19">
        <f t="shared" si="25"/>
        <v>0.22152777777777757</v>
      </c>
      <c r="BF83" t="e">
        <f t="shared" ca="1" si="23"/>
        <v>#VALUE!</v>
      </c>
      <c r="BG83" t="e">
        <f t="shared" ca="1" si="24"/>
        <v>#VALUE!</v>
      </c>
    </row>
    <row r="84" spans="57:59" ht="12" customHeight="1" x14ac:dyDescent="0.2">
      <c r="BE84" s="19">
        <f t="shared" si="25"/>
        <v>0.22222222222222202</v>
      </c>
      <c r="BF84" t="e">
        <f t="shared" ca="1" si="23"/>
        <v>#VALUE!</v>
      </c>
      <c r="BG84" t="e">
        <f t="shared" ca="1" si="24"/>
        <v>#VALUE!</v>
      </c>
    </row>
    <row r="85" spans="57:59" ht="12" customHeight="1" x14ac:dyDescent="0.2">
      <c r="BE85" s="19">
        <f t="shared" si="25"/>
        <v>0.22291666666666646</v>
      </c>
      <c r="BF85" t="e">
        <f t="shared" ca="1" si="23"/>
        <v>#VALUE!</v>
      </c>
      <c r="BG85" t="e">
        <f t="shared" ca="1" si="24"/>
        <v>#VALUE!</v>
      </c>
    </row>
    <row r="86" spans="57:59" ht="12" customHeight="1" x14ac:dyDescent="0.2">
      <c r="BE86" s="19">
        <f t="shared" si="25"/>
        <v>0.2236111111111109</v>
      </c>
      <c r="BF86" t="e">
        <f t="shared" ca="1" si="23"/>
        <v>#VALUE!</v>
      </c>
      <c r="BG86" t="e">
        <f t="shared" ca="1" si="24"/>
        <v>#VALUE!</v>
      </c>
    </row>
    <row r="87" spans="57:59" ht="12" customHeight="1" x14ac:dyDescent="0.2">
      <c r="BE87" s="19">
        <f t="shared" si="25"/>
        <v>0.22430555555555534</v>
      </c>
      <c r="BF87" t="e">
        <f t="shared" ca="1" si="23"/>
        <v>#VALUE!</v>
      </c>
      <c r="BG87" t="e">
        <f t="shared" ca="1" si="24"/>
        <v>#VALUE!</v>
      </c>
    </row>
    <row r="88" spans="57:59" ht="12" customHeight="1" x14ac:dyDescent="0.2">
      <c r="BE88" s="19">
        <f t="shared" si="25"/>
        <v>0.22499999999999978</v>
      </c>
      <c r="BF88" t="e">
        <f t="shared" ca="1" si="23"/>
        <v>#VALUE!</v>
      </c>
      <c r="BG88" t="e">
        <f t="shared" ca="1" si="24"/>
        <v>#VALUE!</v>
      </c>
    </row>
    <row r="89" spans="57:59" ht="12" customHeight="1" x14ac:dyDescent="0.2">
      <c r="BE89" s="19">
        <f t="shared" si="25"/>
        <v>0.22569444444444423</v>
      </c>
      <c r="BF89" t="e">
        <f t="shared" ca="1" si="23"/>
        <v>#VALUE!</v>
      </c>
      <c r="BG89" t="e">
        <f t="shared" ca="1" si="24"/>
        <v>#VALUE!</v>
      </c>
    </row>
    <row r="90" spans="57:59" ht="12" customHeight="1" x14ac:dyDescent="0.2">
      <c r="BE90" s="19">
        <f t="shared" si="25"/>
        <v>0.22638888888888867</v>
      </c>
      <c r="BF90" t="e">
        <f t="shared" ca="1" si="23"/>
        <v>#VALUE!</v>
      </c>
      <c r="BG90" t="e">
        <f t="shared" ca="1" si="24"/>
        <v>#VALUE!</v>
      </c>
    </row>
    <row r="91" spans="57:59" ht="12" customHeight="1" x14ac:dyDescent="0.2">
      <c r="BE91" s="19">
        <f t="shared" si="25"/>
        <v>0.22708333333333311</v>
      </c>
      <c r="BF91" t="e">
        <f t="shared" ca="1" si="23"/>
        <v>#VALUE!</v>
      </c>
      <c r="BG91" t="e">
        <f t="shared" ca="1" si="24"/>
        <v>#VALUE!</v>
      </c>
    </row>
    <row r="92" spans="57:59" ht="12" customHeight="1" x14ac:dyDescent="0.2">
      <c r="BE92" s="19">
        <f t="shared" si="25"/>
        <v>0.22777777777777755</v>
      </c>
      <c r="BF92" t="e">
        <f t="shared" ca="1" si="23"/>
        <v>#VALUE!</v>
      </c>
      <c r="BG92" t="e">
        <f t="shared" ca="1" si="24"/>
        <v>#VALUE!</v>
      </c>
    </row>
    <row r="93" spans="57:59" ht="12" customHeight="1" x14ac:dyDescent="0.2">
      <c r="BE93" s="19">
        <f t="shared" si="25"/>
        <v>0.22847222222222199</v>
      </c>
      <c r="BF93" t="e">
        <f t="shared" ca="1" si="23"/>
        <v>#VALUE!</v>
      </c>
      <c r="BG93" t="e">
        <f t="shared" ca="1" si="24"/>
        <v>#VALUE!</v>
      </c>
    </row>
    <row r="94" spans="57:59" ht="12" customHeight="1" x14ac:dyDescent="0.2">
      <c r="BE94" s="19">
        <f t="shared" si="25"/>
        <v>0.22916666666666644</v>
      </c>
      <c r="BF94" t="e">
        <f t="shared" ca="1" si="23"/>
        <v>#VALUE!</v>
      </c>
      <c r="BG94" t="e">
        <f t="shared" ca="1" si="24"/>
        <v>#VALUE!</v>
      </c>
    </row>
    <row r="95" spans="57:59" ht="12" customHeight="1" x14ac:dyDescent="0.2">
      <c r="BE95" s="19">
        <f t="shared" si="25"/>
        <v>0.22986111111111088</v>
      </c>
      <c r="BF95" t="e">
        <f t="shared" ca="1" si="23"/>
        <v>#VALUE!</v>
      </c>
      <c r="BG95" t="e">
        <f t="shared" ca="1" si="24"/>
        <v>#VALUE!</v>
      </c>
    </row>
    <row r="96" spans="57:59" ht="12" customHeight="1" x14ac:dyDescent="0.2">
      <c r="BE96" s="19">
        <f t="shared" si="25"/>
        <v>0.23055555555555532</v>
      </c>
      <c r="BF96" t="e">
        <f t="shared" ca="1" si="23"/>
        <v>#VALUE!</v>
      </c>
      <c r="BG96" t="e">
        <f t="shared" ca="1" si="24"/>
        <v>#VALUE!</v>
      </c>
    </row>
    <row r="97" spans="57:59" ht="12" customHeight="1" x14ac:dyDescent="0.2">
      <c r="BE97" s="19">
        <f t="shared" si="25"/>
        <v>0.23124999999999976</v>
      </c>
      <c r="BF97" t="e">
        <f t="shared" ca="1" si="23"/>
        <v>#VALUE!</v>
      </c>
      <c r="BG97" t="e">
        <f t="shared" ca="1" si="24"/>
        <v>#VALUE!</v>
      </c>
    </row>
    <row r="98" spans="57:59" ht="12" customHeight="1" x14ac:dyDescent="0.2">
      <c r="BE98" s="19">
        <f t="shared" si="25"/>
        <v>0.2319444444444442</v>
      </c>
      <c r="BF98" t="e">
        <f t="shared" ca="1" si="23"/>
        <v>#VALUE!</v>
      </c>
      <c r="BG98" t="e">
        <f t="shared" ca="1" si="24"/>
        <v>#VALUE!</v>
      </c>
    </row>
    <row r="99" spans="57:59" ht="12" customHeight="1" x14ac:dyDescent="0.2">
      <c r="BE99" s="19">
        <f t="shared" si="25"/>
        <v>0.23263888888888865</v>
      </c>
      <c r="BF99" t="e">
        <f t="shared" ca="1" si="23"/>
        <v>#VALUE!</v>
      </c>
      <c r="BG99" t="e">
        <f t="shared" ca="1" si="24"/>
        <v>#VALUE!</v>
      </c>
    </row>
    <row r="100" spans="57:59" ht="12" customHeight="1" x14ac:dyDescent="0.2">
      <c r="BE100" s="19">
        <f t="shared" si="25"/>
        <v>0.23333333333333309</v>
      </c>
      <c r="BF100" t="e">
        <f t="shared" ca="1" si="23"/>
        <v>#VALUE!</v>
      </c>
      <c r="BG100" t="e">
        <f t="shared" ca="1" si="24"/>
        <v>#VALUE!</v>
      </c>
    </row>
    <row r="101" spans="57:59" ht="12" customHeight="1" x14ac:dyDescent="0.2">
      <c r="BE101" s="19">
        <f t="shared" si="25"/>
        <v>0.23402777777777753</v>
      </c>
      <c r="BF101" t="e">
        <f t="shared" ca="1" si="23"/>
        <v>#VALUE!</v>
      </c>
      <c r="BG101" t="e">
        <f t="shared" ca="1" si="24"/>
        <v>#VALUE!</v>
      </c>
    </row>
    <row r="102" spans="57:59" ht="12" customHeight="1" x14ac:dyDescent="0.2">
      <c r="BE102" s="19">
        <f t="shared" si="25"/>
        <v>0.23472222222222197</v>
      </c>
      <c r="BF102" t="e">
        <f t="shared" ca="1" si="23"/>
        <v>#VALUE!</v>
      </c>
      <c r="BG102" t="e">
        <f t="shared" ca="1" si="24"/>
        <v>#VALUE!</v>
      </c>
    </row>
    <row r="103" spans="57:59" ht="12" customHeight="1" x14ac:dyDescent="0.2">
      <c r="BE103" s="19">
        <f t="shared" si="25"/>
        <v>0.23541666666666641</v>
      </c>
      <c r="BF103" t="e">
        <f t="shared" ca="1" si="23"/>
        <v>#VALUE!</v>
      </c>
      <c r="BG103" t="e">
        <f t="shared" ca="1" si="24"/>
        <v>#VALUE!</v>
      </c>
    </row>
    <row r="104" spans="57:59" ht="12" customHeight="1" x14ac:dyDescent="0.2">
      <c r="BE104" s="19">
        <f t="shared" si="25"/>
        <v>0.23611111111111086</v>
      </c>
      <c r="BF104" t="e">
        <f t="shared" ca="1" si="23"/>
        <v>#VALUE!</v>
      </c>
      <c r="BG104" t="e">
        <f t="shared" ca="1" si="24"/>
        <v>#VALUE!</v>
      </c>
    </row>
    <row r="105" spans="57:59" ht="12" customHeight="1" x14ac:dyDescent="0.2">
      <c r="BE105" s="19">
        <f t="shared" si="25"/>
        <v>0.2368055555555553</v>
      </c>
      <c r="BF105" t="e">
        <f t="shared" ca="1" si="23"/>
        <v>#VALUE!</v>
      </c>
      <c r="BG105" t="e">
        <f t="shared" ca="1" si="24"/>
        <v>#VALUE!</v>
      </c>
    </row>
    <row r="106" spans="57:59" ht="12" customHeight="1" x14ac:dyDescent="0.2">
      <c r="BE106" s="19">
        <f t="shared" si="25"/>
        <v>0.23749999999999974</v>
      </c>
      <c r="BF106" t="e">
        <f t="shared" ca="1" si="23"/>
        <v>#VALUE!</v>
      </c>
      <c r="BG106" t="e">
        <f t="shared" ca="1" si="24"/>
        <v>#VALUE!</v>
      </c>
    </row>
    <row r="107" spans="57:59" ht="12" customHeight="1" x14ac:dyDescent="0.2">
      <c r="BE107" s="19">
        <f t="shared" si="25"/>
        <v>0.23819444444444418</v>
      </c>
      <c r="BF107" t="e">
        <f t="shared" ca="1" si="23"/>
        <v>#VALUE!</v>
      </c>
      <c r="BG107" t="e">
        <f t="shared" ca="1" si="24"/>
        <v>#VALUE!</v>
      </c>
    </row>
    <row r="108" spans="57:59" ht="12" customHeight="1" x14ac:dyDescent="0.2">
      <c r="BE108" s="19">
        <f t="shared" si="25"/>
        <v>0.23888888888888862</v>
      </c>
      <c r="BF108" t="e">
        <f t="shared" ca="1" si="23"/>
        <v>#VALUE!</v>
      </c>
      <c r="BG108" t="e">
        <f t="shared" ca="1" si="24"/>
        <v>#VALUE!</v>
      </c>
    </row>
    <row r="109" spans="57:59" ht="12" customHeight="1" x14ac:dyDescent="0.2">
      <c r="BE109" s="19">
        <f t="shared" si="25"/>
        <v>0.23958333333333307</v>
      </c>
      <c r="BF109" t="e">
        <f t="shared" ca="1" si="23"/>
        <v>#VALUE!</v>
      </c>
      <c r="BG109" t="e">
        <f t="shared" ca="1" si="24"/>
        <v>#VALUE!</v>
      </c>
    </row>
    <row r="110" spans="57:59" ht="12" customHeight="1" x14ac:dyDescent="0.2">
      <c r="BE110" s="19">
        <f t="shared" si="25"/>
        <v>0.24027777777777751</v>
      </c>
      <c r="BF110" t="e">
        <f t="shared" ca="1" si="23"/>
        <v>#VALUE!</v>
      </c>
      <c r="BG110" t="e">
        <f t="shared" ca="1" si="24"/>
        <v>#VALUE!</v>
      </c>
    </row>
    <row r="111" spans="57:59" ht="12" customHeight="1" x14ac:dyDescent="0.2">
      <c r="BE111" s="19">
        <f t="shared" si="25"/>
        <v>0.24097222222222195</v>
      </c>
      <c r="BF111" t="e">
        <f t="shared" ca="1" si="23"/>
        <v>#VALUE!</v>
      </c>
      <c r="BG111" t="e">
        <f t="shared" ca="1" si="24"/>
        <v>#VALUE!</v>
      </c>
    </row>
    <row r="112" spans="57:59" ht="12" customHeight="1" x14ac:dyDescent="0.2">
      <c r="BE112" s="19">
        <f t="shared" si="25"/>
        <v>0.24166666666666639</v>
      </c>
      <c r="BF112" t="e">
        <f t="shared" ca="1" si="23"/>
        <v>#VALUE!</v>
      </c>
      <c r="BG112" t="e">
        <f t="shared" ca="1" si="24"/>
        <v>#VALUE!</v>
      </c>
    </row>
    <row r="113" spans="57:59" ht="12" customHeight="1" x14ac:dyDescent="0.2">
      <c r="BE113" s="19">
        <f t="shared" si="25"/>
        <v>0.24236111111111083</v>
      </c>
      <c r="BF113" t="e">
        <f t="shared" ca="1" si="23"/>
        <v>#VALUE!</v>
      </c>
      <c r="BG113" t="e">
        <f t="shared" ca="1" si="24"/>
        <v>#VALUE!</v>
      </c>
    </row>
    <row r="114" spans="57:59" ht="12" customHeight="1" x14ac:dyDescent="0.2">
      <c r="BE114" s="19">
        <f t="shared" si="25"/>
        <v>0.24305555555555527</v>
      </c>
      <c r="BF114" t="e">
        <f t="shared" ca="1" si="23"/>
        <v>#VALUE!</v>
      </c>
      <c r="BG114" t="e">
        <f t="shared" ca="1" si="24"/>
        <v>#VALUE!</v>
      </c>
    </row>
    <row r="115" spans="57:59" ht="12" customHeight="1" x14ac:dyDescent="0.2">
      <c r="BE115" s="19">
        <f t="shared" si="25"/>
        <v>0.24374999999999972</v>
      </c>
      <c r="BF115" t="e">
        <f t="shared" ca="1" si="23"/>
        <v>#VALUE!</v>
      </c>
      <c r="BG115" t="e">
        <f t="shared" ca="1" si="24"/>
        <v>#VALUE!</v>
      </c>
    </row>
    <row r="116" spans="57:59" ht="12" customHeight="1" x14ac:dyDescent="0.2">
      <c r="BE116" s="19">
        <f t="shared" si="25"/>
        <v>0.24444444444444416</v>
      </c>
      <c r="BF116" t="e">
        <f t="shared" ca="1" si="23"/>
        <v>#VALUE!</v>
      </c>
      <c r="BG116" t="e">
        <f t="shared" ca="1" si="24"/>
        <v>#VALUE!</v>
      </c>
    </row>
    <row r="117" spans="57:59" ht="12" customHeight="1" x14ac:dyDescent="0.2">
      <c r="BE117" s="19">
        <f t="shared" si="25"/>
        <v>0.2451388888888886</v>
      </c>
      <c r="BF117" t="e">
        <f t="shared" ca="1" si="23"/>
        <v>#VALUE!</v>
      </c>
      <c r="BG117" t="e">
        <f t="shared" ca="1" si="24"/>
        <v>#VALUE!</v>
      </c>
    </row>
    <row r="118" spans="57:59" ht="12" customHeight="1" x14ac:dyDescent="0.2">
      <c r="BE118" s="19">
        <f t="shared" si="25"/>
        <v>0.24583333333333304</v>
      </c>
      <c r="BF118" t="e">
        <f t="shared" ca="1" si="23"/>
        <v>#VALUE!</v>
      </c>
      <c r="BG118" t="e">
        <f t="shared" ca="1" si="24"/>
        <v>#VALUE!</v>
      </c>
    </row>
    <row r="119" spans="57:59" ht="12" customHeight="1" x14ac:dyDescent="0.2">
      <c r="BE119" s="19">
        <f t="shared" si="25"/>
        <v>0.24652777777777748</v>
      </c>
      <c r="BF119" t="e">
        <f t="shared" ca="1" si="23"/>
        <v>#VALUE!</v>
      </c>
      <c r="BG119" t="e">
        <f t="shared" ca="1" si="24"/>
        <v>#VALUE!</v>
      </c>
    </row>
    <row r="120" spans="57:59" ht="12" customHeight="1" x14ac:dyDescent="0.2">
      <c r="BE120" s="19">
        <f t="shared" si="25"/>
        <v>0.24722222222222193</v>
      </c>
      <c r="BF120" t="e">
        <f t="shared" ca="1" si="23"/>
        <v>#VALUE!</v>
      </c>
      <c r="BG120" t="e">
        <f t="shared" ca="1" si="24"/>
        <v>#VALUE!</v>
      </c>
    </row>
    <row r="121" spans="57:59" ht="12" customHeight="1" x14ac:dyDescent="0.2">
      <c r="BE121" s="19">
        <f t="shared" si="25"/>
        <v>0.24791666666666637</v>
      </c>
      <c r="BF121" t="e">
        <f t="shared" ca="1" si="23"/>
        <v>#VALUE!</v>
      </c>
      <c r="BG121" t="e">
        <f t="shared" ca="1" si="24"/>
        <v>#VALUE!</v>
      </c>
    </row>
    <row r="122" spans="57:59" ht="12" customHeight="1" x14ac:dyDescent="0.2">
      <c r="BE122" s="19">
        <f t="shared" si="25"/>
        <v>0.24861111111111081</v>
      </c>
      <c r="BF122" t="e">
        <f t="shared" ca="1" si="23"/>
        <v>#VALUE!</v>
      </c>
      <c r="BG122" t="e">
        <f t="shared" ca="1" si="24"/>
        <v>#VALUE!</v>
      </c>
    </row>
    <row r="123" spans="57:59" ht="12" customHeight="1" x14ac:dyDescent="0.2">
      <c r="BE123" s="19">
        <f t="shared" si="25"/>
        <v>0.24930555555555525</v>
      </c>
      <c r="BF123" t="e">
        <f t="shared" ca="1" si="23"/>
        <v>#VALUE!</v>
      </c>
      <c r="BG123" t="e">
        <f t="shared" ca="1" si="24"/>
        <v>#VALUE!</v>
      </c>
    </row>
    <row r="124" spans="57:59" ht="12" customHeight="1" x14ac:dyDescent="0.2">
      <c r="BE124" s="19">
        <f t="shared" si="25"/>
        <v>0.24999999999999969</v>
      </c>
      <c r="BF124" t="e">
        <f t="shared" ca="1" si="23"/>
        <v>#VALUE!</v>
      </c>
      <c r="BG124" t="e">
        <f t="shared" ca="1" si="24"/>
        <v>#VALUE!</v>
      </c>
    </row>
    <row r="125" spans="57:59" ht="12" customHeight="1" x14ac:dyDescent="0.2">
      <c r="BE125" s="19">
        <f t="shared" si="25"/>
        <v>0.25069444444444416</v>
      </c>
      <c r="BF125" t="e">
        <f t="shared" ca="1" si="23"/>
        <v>#VALUE!</v>
      </c>
      <c r="BG125" t="e">
        <f t="shared" ca="1" si="24"/>
        <v>#VALUE!</v>
      </c>
    </row>
    <row r="126" spans="57:59" ht="12" customHeight="1" x14ac:dyDescent="0.2">
      <c r="BE126" s="19">
        <f t="shared" si="25"/>
        <v>0.25138888888888861</v>
      </c>
      <c r="BF126" t="e">
        <f t="shared" ca="1" si="23"/>
        <v>#VALUE!</v>
      </c>
      <c r="BG126" t="e">
        <f t="shared" ca="1" si="24"/>
        <v>#VALUE!</v>
      </c>
    </row>
    <row r="127" spans="57:59" ht="12" customHeight="1" x14ac:dyDescent="0.2">
      <c r="BE127" s="19">
        <f t="shared" si="25"/>
        <v>0.25208333333333305</v>
      </c>
      <c r="BF127" t="e">
        <f t="shared" ca="1" si="23"/>
        <v>#VALUE!</v>
      </c>
      <c r="BG127" t="e">
        <f t="shared" ca="1" si="24"/>
        <v>#VALUE!</v>
      </c>
    </row>
    <row r="128" spans="57:59" ht="12" customHeight="1" x14ac:dyDescent="0.2">
      <c r="BE128" s="19">
        <f t="shared" si="25"/>
        <v>0.25277777777777749</v>
      </c>
      <c r="BF128" t="e">
        <f t="shared" ca="1" si="23"/>
        <v>#VALUE!</v>
      </c>
      <c r="BG128" t="e">
        <f t="shared" ca="1" si="24"/>
        <v>#VALUE!</v>
      </c>
    </row>
    <row r="129" spans="57:59" ht="12" customHeight="1" x14ac:dyDescent="0.2">
      <c r="BE129" s="19">
        <f t="shared" si="25"/>
        <v>0.25347222222222193</v>
      </c>
      <c r="BF129" t="e">
        <f t="shared" ca="1" si="23"/>
        <v>#VALUE!</v>
      </c>
      <c r="BG129" t="e">
        <f t="shared" ca="1" si="24"/>
        <v>#VALUE!</v>
      </c>
    </row>
    <row r="130" spans="57:59" ht="12" customHeight="1" x14ac:dyDescent="0.2">
      <c r="BE130" s="19">
        <f t="shared" si="25"/>
        <v>0.25416666666666637</v>
      </c>
      <c r="BF130" t="e">
        <f t="shared" ca="1" si="23"/>
        <v>#VALUE!</v>
      </c>
      <c r="BG130" t="e">
        <f t="shared" ca="1" si="24"/>
        <v>#VALUE!</v>
      </c>
    </row>
    <row r="131" spans="57:59" ht="12" customHeight="1" x14ac:dyDescent="0.2">
      <c r="BE131" s="19">
        <f t="shared" si="25"/>
        <v>0.25486111111111082</v>
      </c>
      <c r="BF131" t="e">
        <f t="shared" ca="1" si="23"/>
        <v>#VALUE!</v>
      </c>
      <c r="BG131" t="e">
        <f t="shared" ca="1" si="24"/>
        <v>#VALUE!</v>
      </c>
    </row>
    <row r="132" spans="57:59" ht="12" customHeight="1" x14ac:dyDescent="0.2">
      <c r="BE132" s="19">
        <f t="shared" si="25"/>
        <v>0.25555555555555526</v>
      </c>
      <c r="BF132" t="e">
        <f t="shared" ref="BF132:BF195" ca="1" si="26">IF(BG132=0,AVERAGE(OFFSET(BH132,0,0,1,$A$1-1)),AVERAGE(BG132,OFFSET(BH132,0,0,1,$A$1-1)))</f>
        <v>#VALUE!</v>
      </c>
      <c r="BG132" t="e">
        <f t="shared" ca="1" si="24"/>
        <v>#VALUE!</v>
      </c>
    </row>
    <row r="133" spans="57:59" ht="12" customHeight="1" x14ac:dyDescent="0.2">
      <c r="BE133" s="19">
        <f t="shared" si="25"/>
        <v>0.2562499999999997</v>
      </c>
      <c r="BF133" t="e">
        <f t="shared" ca="1" si="26"/>
        <v>#VALUE!</v>
      </c>
      <c r="BG133" t="e">
        <f t="shared" ref="BG133:BG196" ca="1" si="27">IF(BE133&lt;$B$5-1/1440,0,OFFSET($AA$4,(BE133-$B$4)*1440,0,1,1))</f>
        <v>#VALUE!</v>
      </c>
    </row>
    <row r="134" spans="57:59" ht="12" customHeight="1" x14ac:dyDescent="0.2">
      <c r="BE134" s="19">
        <f t="shared" ref="BE134:BE197" si="28">BE133+1/1440</f>
        <v>0.25694444444444414</v>
      </c>
      <c r="BF134" t="e">
        <f t="shared" ca="1" si="26"/>
        <v>#VALUE!</v>
      </c>
      <c r="BG134" t="e">
        <f t="shared" ca="1" si="27"/>
        <v>#VALUE!</v>
      </c>
    </row>
    <row r="135" spans="57:59" ht="12" customHeight="1" x14ac:dyDescent="0.2">
      <c r="BE135" s="19">
        <f t="shared" si="28"/>
        <v>0.25763888888888858</v>
      </c>
      <c r="BF135" t="e">
        <f t="shared" ca="1" si="26"/>
        <v>#VALUE!</v>
      </c>
      <c r="BG135" t="e">
        <f t="shared" ca="1" si="27"/>
        <v>#VALUE!</v>
      </c>
    </row>
    <row r="136" spans="57:59" ht="12" customHeight="1" x14ac:dyDescent="0.2">
      <c r="BE136" s="19">
        <f t="shared" si="28"/>
        <v>0.25833333333333303</v>
      </c>
      <c r="BF136" t="e">
        <f t="shared" ca="1" si="26"/>
        <v>#VALUE!</v>
      </c>
      <c r="BG136" t="e">
        <f t="shared" ca="1" si="27"/>
        <v>#VALUE!</v>
      </c>
    </row>
    <row r="137" spans="57:59" ht="12" customHeight="1" x14ac:dyDescent="0.2">
      <c r="BE137" s="19">
        <f t="shared" si="28"/>
        <v>0.25902777777777747</v>
      </c>
      <c r="BF137" t="e">
        <f t="shared" ca="1" si="26"/>
        <v>#VALUE!</v>
      </c>
      <c r="BG137" t="e">
        <f t="shared" ca="1" si="27"/>
        <v>#VALUE!</v>
      </c>
    </row>
    <row r="138" spans="57:59" ht="12" customHeight="1" x14ac:dyDescent="0.2">
      <c r="BE138" s="19">
        <f t="shared" si="28"/>
        <v>0.25972222222222191</v>
      </c>
      <c r="BF138" t="e">
        <f t="shared" ca="1" si="26"/>
        <v>#VALUE!</v>
      </c>
      <c r="BG138" t="e">
        <f t="shared" ca="1" si="27"/>
        <v>#VALUE!</v>
      </c>
    </row>
    <row r="139" spans="57:59" ht="12" customHeight="1" x14ac:dyDescent="0.2">
      <c r="BE139" s="19">
        <f t="shared" si="28"/>
        <v>0.26041666666666635</v>
      </c>
      <c r="BF139" t="e">
        <f t="shared" ca="1" si="26"/>
        <v>#VALUE!</v>
      </c>
      <c r="BG139" t="e">
        <f t="shared" ca="1" si="27"/>
        <v>#VALUE!</v>
      </c>
    </row>
    <row r="140" spans="57:59" ht="12" customHeight="1" x14ac:dyDescent="0.2">
      <c r="BE140" s="19">
        <f t="shared" si="28"/>
        <v>0.26111111111111079</v>
      </c>
      <c r="BF140" t="e">
        <f t="shared" ca="1" si="26"/>
        <v>#VALUE!</v>
      </c>
      <c r="BG140" t="e">
        <f t="shared" ca="1" si="27"/>
        <v>#VALUE!</v>
      </c>
    </row>
    <row r="141" spans="57:59" ht="12" customHeight="1" x14ac:dyDescent="0.2">
      <c r="BE141" s="19">
        <f t="shared" si="28"/>
        <v>0.26180555555555524</v>
      </c>
      <c r="BF141" t="e">
        <f t="shared" ca="1" si="26"/>
        <v>#VALUE!</v>
      </c>
      <c r="BG141" t="e">
        <f t="shared" ca="1" si="27"/>
        <v>#VALUE!</v>
      </c>
    </row>
    <row r="142" spans="57:59" ht="12" customHeight="1" x14ac:dyDescent="0.2">
      <c r="BE142" s="19">
        <f t="shared" si="28"/>
        <v>0.26249999999999968</v>
      </c>
      <c r="BF142" t="e">
        <f t="shared" ca="1" si="26"/>
        <v>#VALUE!</v>
      </c>
      <c r="BG142" t="e">
        <f t="shared" ca="1" si="27"/>
        <v>#VALUE!</v>
      </c>
    </row>
    <row r="143" spans="57:59" ht="12" customHeight="1" x14ac:dyDescent="0.2">
      <c r="BE143" s="19">
        <f t="shared" si="28"/>
        <v>0.26319444444444412</v>
      </c>
      <c r="BF143" t="e">
        <f t="shared" ca="1" si="26"/>
        <v>#VALUE!</v>
      </c>
      <c r="BG143" t="e">
        <f t="shared" ca="1" si="27"/>
        <v>#VALUE!</v>
      </c>
    </row>
    <row r="144" spans="57:59" ht="12" customHeight="1" x14ac:dyDescent="0.2">
      <c r="BE144" s="19">
        <f t="shared" si="28"/>
        <v>0.26388888888888856</v>
      </c>
      <c r="BF144" t="e">
        <f t="shared" ca="1" si="26"/>
        <v>#VALUE!</v>
      </c>
      <c r="BG144" t="e">
        <f t="shared" ca="1" si="27"/>
        <v>#VALUE!</v>
      </c>
    </row>
    <row r="145" spans="57:59" ht="12" customHeight="1" x14ac:dyDescent="0.2">
      <c r="BE145" s="19">
        <f t="shared" si="28"/>
        <v>0.264583333333333</v>
      </c>
      <c r="BF145" t="e">
        <f t="shared" ca="1" si="26"/>
        <v>#VALUE!</v>
      </c>
      <c r="BG145" t="e">
        <f t="shared" ca="1" si="27"/>
        <v>#VALUE!</v>
      </c>
    </row>
    <row r="146" spans="57:59" ht="12" customHeight="1" x14ac:dyDescent="0.2">
      <c r="BE146" s="19">
        <f t="shared" si="28"/>
        <v>0.26527777777777745</v>
      </c>
      <c r="BF146" t="e">
        <f t="shared" ca="1" si="26"/>
        <v>#VALUE!</v>
      </c>
      <c r="BG146" t="e">
        <f t="shared" ca="1" si="27"/>
        <v>#VALUE!</v>
      </c>
    </row>
    <row r="147" spans="57:59" ht="12" customHeight="1" x14ac:dyDescent="0.2">
      <c r="BE147" s="19">
        <f t="shared" si="28"/>
        <v>0.26597222222222189</v>
      </c>
      <c r="BF147" t="e">
        <f t="shared" ca="1" si="26"/>
        <v>#VALUE!</v>
      </c>
      <c r="BG147" t="e">
        <f t="shared" ca="1" si="27"/>
        <v>#VALUE!</v>
      </c>
    </row>
    <row r="148" spans="57:59" ht="12" customHeight="1" x14ac:dyDescent="0.2">
      <c r="BE148" s="19">
        <f t="shared" si="28"/>
        <v>0.26666666666666633</v>
      </c>
      <c r="BF148" t="e">
        <f t="shared" ca="1" si="26"/>
        <v>#VALUE!</v>
      </c>
      <c r="BG148" t="e">
        <f t="shared" ca="1" si="27"/>
        <v>#VALUE!</v>
      </c>
    </row>
    <row r="149" spans="57:59" ht="12" customHeight="1" x14ac:dyDescent="0.2">
      <c r="BE149" s="19">
        <f t="shared" si="28"/>
        <v>0.26736111111111077</v>
      </c>
      <c r="BF149" t="e">
        <f t="shared" ca="1" si="26"/>
        <v>#VALUE!</v>
      </c>
      <c r="BG149" t="e">
        <f t="shared" ca="1" si="27"/>
        <v>#VALUE!</v>
      </c>
    </row>
    <row r="150" spans="57:59" ht="12" customHeight="1" x14ac:dyDescent="0.2">
      <c r="BE150" s="19">
        <f t="shared" si="28"/>
        <v>0.26805555555555521</v>
      </c>
      <c r="BF150" t="e">
        <f t="shared" ca="1" si="26"/>
        <v>#VALUE!</v>
      </c>
      <c r="BG150" t="e">
        <f t="shared" ca="1" si="27"/>
        <v>#VALUE!</v>
      </c>
    </row>
    <row r="151" spans="57:59" ht="12" customHeight="1" x14ac:dyDescent="0.2">
      <c r="BE151" s="19">
        <f t="shared" si="28"/>
        <v>0.26874999999999966</v>
      </c>
      <c r="BF151" t="e">
        <f t="shared" ca="1" si="26"/>
        <v>#VALUE!</v>
      </c>
      <c r="BG151" t="e">
        <f t="shared" ca="1" si="27"/>
        <v>#VALUE!</v>
      </c>
    </row>
    <row r="152" spans="57:59" ht="12" customHeight="1" x14ac:dyDescent="0.2">
      <c r="BE152" s="19">
        <f t="shared" si="28"/>
        <v>0.2694444444444441</v>
      </c>
      <c r="BF152" t="e">
        <f t="shared" ca="1" si="26"/>
        <v>#VALUE!</v>
      </c>
      <c r="BG152" t="e">
        <f t="shared" ca="1" si="27"/>
        <v>#VALUE!</v>
      </c>
    </row>
    <row r="153" spans="57:59" ht="12" customHeight="1" x14ac:dyDescent="0.2">
      <c r="BE153" s="19">
        <f t="shared" si="28"/>
        <v>0.27013888888888854</v>
      </c>
      <c r="BF153" t="e">
        <f t="shared" ca="1" si="26"/>
        <v>#VALUE!</v>
      </c>
      <c r="BG153" t="e">
        <f t="shared" ca="1" si="27"/>
        <v>#VALUE!</v>
      </c>
    </row>
    <row r="154" spans="57:59" ht="12" customHeight="1" x14ac:dyDescent="0.2">
      <c r="BE154" s="19">
        <f t="shared" si="28"/>
        <v>0.27083333333333298</v>
      </c>
      <c r="BF154" t="e">
        <f t="shared" ca="1" si="26"/>
        <v>#VALUE!</v>
      </c>
      <c r="BG154" t="e">
        <f t="shared" ca="1" si="27"/>
        <v>#VALUE!</v>
      </c>
    </row>
    <row r="155" spans="57:59" ht="12" customHeight="1" x14ac:dyDescent="0.2">
      <c r="BE155" s="19">
        <f t="shared" si="28"/>
        <v>0.27152777777777742</v>
      </c>
      <c r="BF155" t="e">
        <f t="shared" ca="1" si="26"/>
        <v>#VALUE!</v>
      </c>
      <c r="BG155" t="e">
        <f t="shared" ca="1" si="27"/>
        <v>#VALUE!</v>
      </c>
    </row>
    <row r="156" spans="57:59" ht="12" customHeight="1" x14ac:dyDescent="0.2">
      <c r="BE156" s="19">
        <f t="shared" si="28"/>
        <v>0.27222222222222187</v>
      </c>
      <c r="BF156" t="e">
        <f t="shared" ca="1" si="26"/>
        <v>#VALUE!</v>
      </c>
      <c r="BG156" t="e">
        <f t="shared" ca="1" si="27"/>
        <v>#VALUE!</v>
      </c>
    </row>
    <row r="157" spans="57:59" ht="12" customHeight="1" x14ac:dyDescent="0.2">
      <c r="BE157" s="19">
        <f t="shared" si="28"/>
        <v>0.27291666666666631</v>
      </c>
      <c r="BF157" t="e">
        <f t="shared" ca="1" si="26"/>
        <v>#VALUE!</v>
      </c>
      <c r="BG157" t="e">
        <f t="shared" ca="1" si="27"/>
        <v>#VALUE!</v>
      </c>
    </row>
    <row r="158" spans="57:59" ht="12" customHeight="1" x14ac:dyDescent="0.2">
      <c r="BE158" s="19">
        <f t="shared" si="28"/>
        <v>0.27361111111111075</v>
      </c>
      <c r="BF158" t="e">
        <f t="shared" ca="1" si="26"/>
        <v>#VALUE!</v>
      </c>
      <c r="BG158" t="e">
        <f t="shared" ca="1" si="27"/>
        <v>#VALUE!</v>
      </c>
    </row>
    <row r="159" spans="57:59" ht="12" customHeight="1" x14ac:dyDescent="0.2">
      <c r="BE159" s="19">
        <f t="shared" si="28"/>
        <v>0.27430555555555519</v>
      </c>
      <c r="BF159" t="e">
        <f t="shared" ca="1" si="26"/>
        <v>#VALUE!</v>
      </c>
      <c r="BG159" t="e">
        <f t="shared" ca="1" si="27"/>
        <v>#VALUE!</v>
      </c>
    </row>
    <row r="160" spans="57:59" ht="12" customHeight="1" x14ac:dyDescent="0.2">
      <c r="BE160" s="19">
        <f t="shared" si="28"/>
        <v>0.27499999999999963</v>
      </c>
      <c r="BF160" t="e">
        <f t="shared" ca="1" si="26"/>
        <v>#VALUE!</v>
      </c>
      <c r="BG160" t="e">
        <f t="shared" ca="1" si="27"/>
        <v>#VALUE!</v>
      </c>
    </row>
    <row r="161" spans="57:59" ht="12" customHeight="1" x14ac:dyDescent="0.2">
      <c r="BE161" s="19">
        <f t="shared" si="28"/>
        <v>0.27569444444444408</v>
      </c>
      <c r="BF161" t="e">
        <f t="shared" ca="1" si="26"/>
        <v>#VALUE!</v>
      </c>
      <c r="BG161" t="e">
        <f t="shared" ca="1" si="27"/>
        <v>#VALUE!</v>
      </c>
    </row>
    <row r="162" spans="57:59" ht="12" customHeight="1" x14ac:dyDescent="0.2">
      <c r="BE162" s="19">
        <f t="shared" si="28"/>
        <v>0.27638888888888852</v>
      </c>
      <c r="BF162" t="e">
        <f t="shared" ca="1" si="26"/>
        <v>#VALUE!</v>
      </c>
      <c r="BG162" t="e">
        <f t="shared" ca="1" si="27"/>
        <v>#VALUE!</v>
      </c>
    </row>
    <row r="163" spans="57:59" ht="12" customHeight="1" x14ac:dyDescent="0.2">
      <c r="BE163" s="19">
        <f t="shared" si="28"/>
        <v>0.27708333333333296</v>
      </c>
      <c r="BF163" t="e">
        <f t="shared" ca="1" si="26"/>
        <v>#VALUE!</v>
      </c>
      <c r="BG163" t="e">
        <f t="shared" ca="1" si="27"/>
        <v>#VALUE!</v>
      </c>
    </row>
    <row r="164" spans="57:59" ht="12" customHeight="1" x14ac:dyDescent="0.2">
      <c r="BE164" s="19">
        <f t="shared" si="28"/>
        <v>0.2777777777777774</v>
      </c>
      <c r="BF164" t="e">
        <f t="shared" ca="1" si="26"/>
        <v>#VALUE!</v>
      </c>
      <c r="BG164" t="e">
        <f t="shared" ca="1" si="27"/>
        <v>#VALUE!</v>
      </c>
    </row>
    <row r="165" spans="57:59" ht="12" customHeight="1" x14ac:dyDescent="0.2">
      <c r="BE165" s="19">
        <f t="shared" si="28"/>
        <v>0.27847222222222184</v>
      </c>
      <c r="BF165" t="e">
        <f t="shared" ca="1" si="26"/>
        <v>#VALUE!</v>
      </c>
      <c r="BG165" t="e">
        <f t="shared" ca="1" si="27"/>
        <v>#VALUE!</v>
      </c>
    </row>
    <row r="166" spans="57:59" ht="12" customHeight="1" x14ac:dyDescent="0.2">
      <c r="BE166" s="19">
        <f t="shared" si="28"/>
        <v>0.27916666666666629</v>
      </c>
      <c r="BF166" t="e">
        <f t="shared" ca="1" si="26"/>
        <v>#VALUE!</v>
      </c>
      <c r="BG166" t="e">
        <f t="shared" ca="1" si="27"/>
        <v>#VALUE!</v>
      </c>
    </row>
    <row r="167" spans="57:59" ht="12" customHeight="1" x14ac:dyDescent="0.2">
      <c r="BE167" s="19">
        <f t="shared" si="28"/>
        <v>0.27986111111111073</v>
      </c>
      <c r="BF167" t="e">
        <f t="shared" ca="1" si="26"/>
        <v>#VALUE!</v>
      </c>
      <c r="BG167" t="e">
        <f t="shared" ca="1" si="27"/>
        <v>#VALUE!</v>
      </c>
    </row>
    <row r="168" spans="57:59" ht="12" customHeight="1" x14ac:dyDescent="0.2">
      <c r="BE168" s="19">
        <f t="shared" si="28"/>
        <v>0.28055555555555517</v>
      </c>
      <c r="BF168" t="e">
        <f t="shared" ca="1" si="26"/>
        <v>#VALUE!</v>
      </c>
      <c r="BG168" t="e">
        <f t="shared" ca="1" si="27"/>
        <v>#VALUE!</v>
      </c>
    </row>
    <row r="169" spans="57:59" ht="12" customHeight="1" x14ac:dyDescent="0.2">
      <c r="BE169" s="19">
        <f t="shared" si="28"/>
        <v>0.28124999999999961</v>
      </c>
      <c r="BF169" t="e">
        <f t="shared" ca="1" si="26"/>
        <v>#VALUE!</v>
      </c>
      <c r="BG169" t="e">
        <f t="shared" ca="1" si="27"/>
        <v>#VALUE!</v>
      </c>
    </row>
    <row r="170" spans="57:59" ht="12" customHeight="1" x14ac:dyDescent="0.2">
      <c r="BE170" s="19">
        <f t="shared" si="28"/>
        <v>0.28194444444444405</v>
      </c>
      <c r="BF170" t="e">
        <f t="shared" ca="1" si="26"/>
        <v>#VALUE!</v>
      </c>
      <c r="BG170" t="e">
        <f t="shared" ca="1" si="27"/>
        <v>#VALUE!</v>
      </c>
    </row>
    <row r="171" spans="57:59" ht="12" customHeight="1" x14ac:dyDescent="0.2">
      <c r="BE171" s="19">
        <f t="shared" si="28"/>
        <v>0.2826388888888885</v>
      </c>
      <c r="BF171" t="e">
        <f t="shared" ca="1" si="26"/>
        <v>#VALUE!</v>
      </c>
      <c r="BG171" t="e">
        <f t="shared" ca="1" si="27"/>
        <v>#VALUE!</v>
      </c>
    </row>
    <row r="172" spans="57:59" ht="12" customHeight="1" x14ac:dyDescent="0.2">
      <c r="BE172" s="19">
        <f t="shared" si="28"/>
        <v>0.28333333333333294</v>
      </c>
      <c r="BF172" t="e">
        <f t="shared" ca="1" si="26"/>
        <v>#VALUE!</v>
      </c>
      <c r="BG172" t="e">
        <f t="shared" ca="1" si="27"/>
        <v>#VALUE!</v>
      </c>
    </row>
    <row r="173" spans="57:59" ht="12" customHeight="1" x14ac:dyDescent="0.2">
      <c r="BE173" s="19">
        <f t="shared" si="28"/>
        <v>0.28402777777777738</v>
      </c>
      <c r="BF173" t="e">
        <f t="shared" ca="1" si="26"/>
        <v>#VALUE!</v>
      </c>
      <c r="BG173" t="e">
        <f t="shared" ca="1" si="27"/>
        <v>#VALUE!</v>
      </c>
    </row>
    <row r="174" spans="57:59" ht="12" customHeight="1" x14ac:dyDescent="0.2">
      <c r="BE174" s="19">
        <f t="shared" si="28"/>
        <v>0.28472222222222182</v>
      </c>
      <c r="BF174" t="e">
        <f t="shared" ca="1" si="26"/>
        <v>#VALUE!</v>
      </c>
      <c r="BG174" t="e">
        <f t="shared" ca="1" si="27"/>
        <v>#VALUE!</v>
      </c>
    </row>
    <row r="175" spans="57:59" ht="12" customHeight="1" x14ac:dyDescent="0.2">
      <c r="BE175" s="19">
        <f t="shared" si="28"/>
        <v>0.28541666666666626</v>
      </c>
      <c r="BF175" t="e">
        <f t="shared" ca="1" si="26"/>
        <v>#VALUE!</v>
      </c>
      <c r="BG175" t="e">
        <f t="shared" ca="1" si="27"/>
        <v>#VALUE!</v>
      </c>
    </row>
    <row r="176" spans="57:59" ht="12" customHeight="1" x14ac:dyDescent="0.2">
      <c r="BE176" s="19">
        <f t="shared" si="28"/>
        <v>0.28611111111111071</v>
      </c>
      <c r="BF176" t="e">
        <f t="shared" ca="1" si="26"/>
        <v>#VALUE!</v>
      </c>
      <c r="BG176" t="e">
        <f t="shared" ca="1" si="27"/>
        <v>#VALUE!</v>
      </c>
    </row>
    <row r="177" spans="57:59" ht="12" customHeight="1" x14ac:dyDescent="0.2">
      <c r="BE177" s="19">
        <f t="shared" si="28"/>
        <v>0.28680555555555515</v>
      </c>
      <c r="BF177" t="e">
        <f t="shared" ca="1" si="26"/>
        <v>#VALUE!</v>
      </c>
      <c r="BG177" t="e">
        <f t="shared" ca="1" si="27"/>
        <v>#VALUE!</v>
      </c>
    </row>
    <row r="178" spans="57:59" ht="12" customHeight="1" x14ac:dyDescent="0.2">
      <c r="BE178" s="19">
        <f t="shared" si="28"/>
        <v>0.28749999999999959</v>
      </c>
      <c r="BF178" t="e">
        <f t="shared" ca="1" si="26"/>
        <v>#VALUE!</v>
      </c>
      <c r="BG178" t="e">
        <f t="shared" ca="1" si="27"/>
        <v>#VALUE!</v>
      </c>
    </row>
    <row r="179" spans="57:59" ht="12" customHeight="1" x14ac:dyDescent="0.2">
      <c r="BE179" s="19">
        <f t="shared" si="28"/>
        <v>0.28819444444444403</v>
      </c>
      <c r="BF179" t="e">
        <f t="shared" ca="1" si="26"/>
        <v>#VALUE!</v>
      </c>
      <c r="BG179" t="e">
        <f t="shared" ca="1" si="27"/>
        <v>#VALUE!</v>
      </c>
    </row>
    <row r="180" spans="57:59" ht="12" customHeight="1" x14ac:dyDescent="0.2">
      <c r="BE180" s="19">
        <f t="shared" si="28"/>
        <v>0.28888888888888847</v>
      </c>
      <c r="BF180" t="e">
        <f t="shared" ca="1" si="26"/>
        <v>#VALUE!</v>
      </c>
      <c r="BG180" t="e">
        <f t="shared" ca="1" si="27"/>
        <v>#VALUE!</v>
      </c>
    </row>
    <row r="181" spans="57:59" ht="12" customHeight="1" x14ac:dyDescent="0.2">
      <c r="BE181" s="19">
        <f t="shared" si="28"/>
        <v>0.28958333333333292</v>
      </c>
      <c r="BF181" t="e">
        <f t="shared" ca="1" si="26"/>
        <v>#VALUE!</v>
      </c>
      <c r="BG181" t="e">
        <f t="shared" ca="1" si="27"/>
        <v>#VALUE!</v>
      </c>
    </row>
    <row r="182" spans="57:59" ht="12" customHeight="1" x14ac:dyDescent="0.2">
      <c r="BE182" s="19">
        <f t="shared" si="28"/>
        <v>0.29027777777777736</v>
      </c>
      <c r="BF182" t="e">
        <f t="shared" ca="1" si="26"/>
        <v>#VALUE!</v>
      </c>
      <c r="BG182" t="e">
        <f t="shared" ca="1" si="27"/>
        <v>#VALUE!</v>
      </c>
    </row>
    <row r="183" spans="57:59" ht="12" customHeight="1" x14ac:dyDescent="0.2">
      <c r="BE183" s="19">
        <f t="shared" si="28"/>
        <v>0.2909722222222218</v>
      </c>
      <c r="BF183" t="e">
        <f t="shared" ca="1" si="26"/>
        <v>#VALUE!</v>
      </c>
      <c r="BG183" t="e">
        <f t="shared" ca="1" si="27"/>
        <v>#VALUE!</v>
      </c>
    </row>
    <row r="184" spans="57:59" ht="12" customHeight="1" x14ac:dyDescent="0.2">
      <c r="BE184" s="19">
        <f t="shared" si="28"/>
        <v>0.29166666666666624</v>
      </c>
      <c r="BF184" t="e">
        <f t="shared" ca="1" si="26"/>
        <v>#VALUE!</v>
      </c>
      <c r="BG184" t="e">
        <f t="shared" ca="1" si="27"/>
        <v>#VALUE!</v>
      </c>
    </row>
    <row r="185" spans="57:59" ht="12" customHeight="1" x14ac:dyDescent="0.2">
      <c r="BE185" s="19">
        <f t="shared" si="28"/>
        <v>0.29236111111111068</v>
      </c>
      <c r="BF185" t="e">
        <f t="shared" ca="1" si="26"/>
        <v>#VALUE!</v>
      </c>
      <c r="BG185" t="e">
        <f t="shared" ca="1" si="27"/>
        <v>#VALUE!</v>
      </c>
    </row>
    <row r="186" spans="57:59" ht="12" customHeight="1" x14ac:dyDescent="0.2">
      <c r="BE186" s="19">
        <f t="shared" si="28"/>
        <v>0.29305555555555513</v>
      </c>
      <c r="BF186" t="e">
        <f t="shared" ca="1" si="26"/>
        <v>#VALUE!</v>
      </c>
      <c r="BG186" t="e">
        <f t="shared" ca="1" si="27"/>
        <v>#VALUE!</v>
      </c>
    </row>
    <row r="187" spans="57:59" ht="12" customHeight="1" x14ac:dyDescent="0.2">
      <c r="BE187" s="19">
        <f t="shared" si="28"/>
        <v>0.29374999999999957</v>
      </c>
      <c r="BF187" t="e">
        <f t="shared" ca="1" si="26"/>
        <v>#VALUE!</v>
      </c>
      <c r="BG187" t="e">
        <f t="shared" ca="1" si="27"/>
        <v>#VALUE!</v>
      </c>
    </row>
    <row r="188" spans="57:59" ht="12" customHeight="1" x14ac:dyDescent="0.2">
      <c r="BE188" s="19">
        <f t="shared" si="28"/>
        <v>0.29444444444444401</v>
      </c>
      <c r="BF188" t="e">
        <f t="shared" ca="1" si="26"/>
        <v>#VALUE!</v>
      </c>
      <c r="BG188" t="e">
        <f t="shared" ca="1" si="27"/>
        <v>#VALUE!</v>
      </c>
    </row>
    <row r="189" spans="57:59" ht="12" customHeight="1" x14ac:dyDescent="0.2">
      <c r="BE189" s="19">
        <f t="shared" si="28"/>
        <v>0.29513888888888845</v>
      </c>
      <c r="BF189" t="e">
        <f t="shared" ca="1" si="26"/>
        <v>#VALUE!</v>
      </c>
      <c r="BG189" t="e">
        <f t="shared" ca="1" si="27"/>
        <v>#VALUE!</v>
      </c>
    </row>
    <row r="190" spans="57:59" ht="12" customHeight="1" x14ac:dyDescent="0.2">
      <c r="BE190" s="19">
        <f t="shared" si="28"/>
        <v>0.29583333333333289</v>
      </c>
      <c r="BF190" t="e">
        <f t="shared" ca="1" si="26"/>
        <v>#VALUE!</v>
      </c>
      <c r="BG190" t="e">
        <f t="shared" ca="1" si="27"/>
        <v>#VALUE!</v>
      </c>
    </row>
    <row r="191" spans="57:59" ht="12" customHeight="1" x14ac:dyDescent="0.2">
      <c r="BE191" s="19">
        <f t="shared" si="28"/>
        <v>0.29652777777777733</v>
      </c>
      <c r="BF191" t="e">
        <f t="shared" ca="1" si="26"/>
        <v>#VALUE!</v>
      </c>
      <c r="BG191" t="e">
        <f t="shared" ca="1" si="27"/>
        <v>#VALUE!</v>
      </c>
    </row>
    <row r="192" spans="57:59" ht="12" customHeight="1" x14ac:dyDescent="0.2">
      <c r="BE192" s="19">
        <f t="shared" si="28"/>
        <v>0.29722222222222178</v>
      </c>
      <c r="BF192" t="e">
        <f t="shared" ca="1" si="26"/>
        <v>#VALUE!</v>
      </c>
      <c r="BG192" t="e">
        <f t="shared" ca="1" si="27"/>
        <v>#VALUE!</v>
      </c>
    </row>
    <row r="193" spans="57:59" ht="12" customHeight="1" x14ac:dyDescent="0.2">
      <c r="BE193" s="19">
        <f t="shared" si="28"/>
        <v>0.29791666666666622</v>
      </c>
      <c r="BF193" t="e">
        <f t="shared" ca="1" si="26"/>
        <v>#VALUE!</v>
      </c>
      <c r="BG193" t="e">
        <f t="shared" ca="1" si="27"/>
        <v>#VALUE!</v>
      </c>
    </row>
    <row r="194" spans="57:59" ht="12" customHeight="1" x14ac:dyDescent="0.2">
      <c r="BE194" s="19">
        <f t="shared" si="28"/>
        <v>0.29861111111111066</v>
      </c>
      <c r="BF194" t="e">
        <f t="shared" ca="1" si="26"/>
        <v>#VALUE!</v>
      </c>
      <c r="BG194" t="e">
        <f t="shared" ca="1" si="27"/>
        <v>#VALUE!</v>
      </c>
    </row>
    <row r="195" spans="57:59" ht="12" customHeight="1" x14ac:dyDescent="0.2">
      <c r="BE195" s="19">
        <f t="shared" si="28"/>
        <v>0.2993055555555551</v>
      </c>
      <c r="BF195" t="e">
        <f t="shared" ca="1" si="26"/>
        <v>#VALUE!</v>
      </c>
      <c r="BG195" t="e">
        <f t="shared" ca="1" si="27"/>
        <v>#VALUE!</v>
      </c>
    </row>
    <row r="196" spans="57:59" ht="12" customHeight="1" x14ac:dyDescent="0.2">
      <c r="BE196" s="19">
        <f t="shared" si="28"/>
        <v>0.29999999999999954</v>
      </c>
      <c r="BF196" t="e">
        <f t="shared" ref="BF196:BF259" ca="1" si="29">IF(BG196=0,AVERAGE(OFFSET(BH196,0,0,1,$A$1-1)),AVERAGE(BG196,OFFSET(BH196,0,0,1,$A$1-1)))</f>
        <v>#VALUE!</v>
      </c>
      <c r="BG196" t="e">
        <f t="shared" ca="1" si="27"/>
        <v>#VALUE!</v>
      </c>
    </row>
    <row r="197" spans="57:59" ht="12" customHeight="1" x14ac:dyDescent="0.2">
      <c r="BE197" s="19">
        <f t="shared" si="28"/>
        <v>0.30069444444444399</v>
      </c>
      <c r="BF197" t="e">
        <f t="shared" ca="1" si="29"/>
        <v>#VALUE!</v>
      </c>
      <c r="BG197" t="e">
        <f t="shared" ref="BG197:BG260" ca="1" si="30">IF(BE197&lt;$B$5-1/1440,0,OFFSET($AA$4,(BE197-$B$4)*1440,0,1,1))</f>
        <v>#VALUE!</v>
      </c>
    </row>
    <row r="198" spans="57:59" ht="12" customHeight="1" x14ac:dyDescent="0.2">
      <c r="BE198" s="19">
        <f t="shared" ref="BE198:BE261" si="31">BE197+1/1440</f>
        <v>0.30138888888888843</v>
      </c>
      <c r="BF198" t="e">
        <f t="shared" ca="1" si="29"/>
        <v>#VALUE!</v>
      </c>
      <c r="BG198" t="e">
        <f t="shared" ca="1" si="30"/>
        <v>#VALUE!</v>
      </c>
    </row>
    <row r="199" spans="57:59" ht="12" customHeight="1" x14ac:dyDescent="0.2">
      <c r="BE199" s="19">
        <f t="shared" si="31"/>
        <v>0.30208333333333287</v>
      </c>
      <c r="BF199" t="e">
        <f t="shared" ca="1" si="29"/>
        <v>#VALUE!</v>
      </c>
      <c r="BG199" t="e">
        <f t="shared" ca="1" si="30"/>
        <v>#VALUE!</v>
      </c>
    </row>
    <row r="200" spans="57:59" ht="12" customHeight="1" x14ac:dyDescent="0.2">
      <c r="BE200" s="19">
        <f t="shared" si="31"/>
        <v>0.30277777777777731</v>
      </c>
      <c r="BF200" t="e">
        <f t="shared" ca="1" si="29"/>
        <v>#VALUE!</v>
      </c>
      <c r="BG200" t="e">
        <f t="shared" ca="1" si="30"/>
        <v>#VALUE!</v>
      </c>
    </row>
    <row r="201" spans="57:59" ht="12" customHeight="1" x14ac:dyDescent="0.2">
      <c r="BE201" s="19">
        <f t="shared" si="31"/>
        <v>0.30347222222222175</v>
      </c>
      <c r="BF201" t="e">
        <f t="shared" ca="1" si="29"/>
        <v>#VALUE!</v>
      </c>
      <c r="BG201" t="e">
        <f t="shared" ca="1" si="30"/>
        <v>#VALUE!</v>
      </c>
    </row>
    <row r="202" spans="57:59" ht="12" customHeight="1" x14ac:dyDescent="0.2">
      <c r="BE202" s="19">
        <f t="shared" si="31"/>
        <v>0.3041666666666662</v>
      </c>
      <c r="BF202" t="e">
        <f t="shared" ca="1" si="29"/>
        <v>#VALUE!</v>
      </c>
      <c r="BG202" t="e">
        <f t="shared" ca="1" si="30"/>
        <v>#VALUE!</v>
      </c>
    </row>
    <row r="203" spans="57:59" ht="12" customHeight="1" x14ac:dyDescent="0.2">
      <c r="BE203" s="19">
        <f t="shared" si="31"/>
        <v>0.30486111111111064</v>
      </c>
      <c r="BF203" t="e">
        <f t="shared" ca="1" si="29"/>
        <v>#VALUE!</v>
      </c>
      <c r="BG203" t="e">
        <f t="shared" ca="1" si="30"/>
        <v>#VALUE!</v>
      </c>
    </row>
    <row r="204" spans="57:59" ht="12" customHeight="1" x14ac:dyDescent="0.2">
      <c r="BE204" s="19">
        <f t="shared" si="31"/>
        <v>0.30555555555555508</v>
      </c>
      <c r="BF204" t="e">
        <f t="shared" ca="1" si="29"/>
        <v>#VALUE!</v>
      </c>
      <c r="BG204" t="e">
        <f t="shared" ca="1" si="30"/>
        <v>#VALUE!</v>
      </c>
    </row>
    <row r="205" spans="57:59" ht="12" customHeight="1" x14ac:dyDescent="0.2">
      <c r="BE205" s="19">
        <f t="shared" si="31"/>
        <v>0.30624999999999952</v>
      </c>
      <c r="BF205" t="e">
        <f t="shared" ca="1" si="29"/>
        <v>#VALUE!</v>
      </c>
      <c r="BG205" t="e">
        <f t="shared" ca="1" si="30"/>
        <v>#VALUE!</v>
      </c>
    </row>
    <row r="206" spans="57:59" ht="12" customHeight="1" x14ac:dyDescent="0.2">
      <c r="BE206" s="19">
        <f t="shared" si="31"/>
        <v>0.30694444444444396</v>
      </c>
      <c r="BF206" t="e">
        <f t="shared" ca="1" si="29"/>
        <v>#VALUE!</v>
      </c>
      <c r="BG206" t="e">
        <f t="shared" ca="1" si="30"/>
        <v>#VALUE!</v>
      </c>
    </row>
    <row r="207" spans="57:59" ht="12" customHeight="1" x14ac:dyDescent="0.2">
      <c r="BE207" s="19">
        <f t="shared" si="31"/>
        <v>0.30763888888888841</v>
      </c>
      <c r="BF207" t="e">
        <f t="shared" ca="1" si="29"/>
        <v>#VALUE!</v>
      </c>
      <c r="BG207" t="e">
        <f t="shared" ca="1" si="30"/>
        <v>#VALUE!</v>
      </c>
    </row>
    <row r="208" spans="57:59" ht="12" customHeight="1" x14ac:dyDescent="0.2">
      <c r="BE208" s="19">
        <f t="shared" si="31"/>
        <v>0.30833333333333285</v>
      </c>
      <c r="BF208" t="e">
        <f t="shared" ca="1" si="29"/>
        <v>#VALUE!</v>
      </c>
      <c r="BG208" t="e">
        <f t="shared" ca="1" si="30"/>
        <v>#VALUE!</v>
      </c>
    </row>
    <row r="209" spans="57:59" ht="12" customHeight="1" x14ac:dyDescent="0.2">
      <c r="BE209" s="19">
        <f t="shared" si="31"/>
        <v>0.30902777777777729</v>
      </c>
      <c r="BF209" t="e">
        <f t="shared" ca="1" si="29"/>
        <v>#VALUE!</v>
      </c>
      <c r="BG209" t="e">
        <f t="shared" ca="1" si="30"/>
        <v>#VALUE!</v>
      </c>
    </row>
    <row r="210" spans="57:59" ht="12" customHeight="1" x14ac:dyDescent="0.2">
      <c r="BE210" s="19">
        <f t="shared" si="31"/>
        <v>0.30972222222222173</v>
      </c>
      <c r="BF210" t="e">
        <f t="shared" ca="1" si="29"/>
        <v>#VALUE!</v>
      </c>
      <c r="BG210" t="e">
        <f t="shared" ca="1" si="30"/>
        <v>#VALUE!</v>
      </c>
    </row>
    <row r="211" spans="57:59" ht="12" customHeight="1" x14ac:dyDescent="0.2">
      <c r="BE211" s="19">
        <f t="shared" si="31"/>
        <v>0.31041666666666617</v>
      </c>
      <c r="BF211" t="e">
        <f t="shared" ca="1" si="29"/>
        <v>#VALUE!</v>
      </c>
      <c r="BG211" t="e">
        <f t="shared" ca="1" si="30"/>
        <v>#VALUE!</v>
      </c>
    </row>
    <row r="212" spans="57:59" ht="12" customHeight="1" x14ac:dyDescent="0.2">
      <c r="BE212" s="19">
        <f t="shared" si="31"/>
        <v>0.31111111111111062</v>
      </c>
      <c r="BF212" t="e">
        <f t="shared" ca="1" si="29"/>
        <v>#VALUE!</v>
      </c>
      <c r="BG212" t="e">
        <f t="shared" ca="1" si="30"/>
        <v>#VALUE!</v>
      </c>
    </row>
    <row r="213" spans="57:59" ht="12" customHeight="1" x14ac:dyDescent="0.2">
      <c r="BE213" s="19">
        <f t="shared" si="31"/>
        <v>0.31180555555555506</v>
      </c>
      <c r="BF213" t="e">
        <f t="shared" ca="1" si="29"/>
        <v>#VALUE!</v>
      </c>
      <c r="BG213" t="e">
        <f t="shared" ca="1" si="30"/>
        <v>#VALUE!</v>
      </c>
    </row>
    <row r="214" spans="57:59" ht="12" customHeight="1" x14ac:dyDescent="0.2">
      <c r="BE214" s="19">
        <f t="shared" si="31"/>
        <v>0.3124999999999995</v>
      </c>
      <c r="BF214" t="e">
        <f t="shared" ca="1" si="29"/>
        <v>#VALUE!</v>
      </c>
      <c r="BG214" t="e">
        <f t="shared" ca="1" si="30"/>
        <v>#VALUE!</v>
      </c>
    </row>
    <row r="215" spans="57:59" ht="12" customHeight="1" x14ac:dyDescent="0.2">
      <c r="BE215" s="19">
        <f t="shared" si="31"/>
        <v>0.31319444444444394</v>
      </c>
      <c r="BF215" t="e">
        <f t="shared" ca="1" si="29"/>
        <v>#VALUE!</v>
      </c>
      <c r="BG215" t="e">
        <f t="shared" ca="1" si="30"/>
        <v>#VALUE!</v>
      </c>
    </row>
    <row r="216" spans="57:59" ht="12" customHeight="1" x14ac:dyDescent="0.2">
      <c r="BE216" s="19">
        <f t="shared" si="31"/>
        <v>0.31388888888888838</v>
      </c>
      <c r="BF216" t="e">
        <f t="shared" ca="1" si="29"/>
        <v>#VALUE!</v>
      </c>
      <c r="BG216" t="e">
        <f t="shared" ca="1" si="30"/>
        <v>#VALUE!</v>
      </c>
    </row>
    <row r="217" spans="57:59" ht="12" customHeight="1" x14ac:dyDescent="0.2">
      <c r="BE217" s="19">
        <f t="shared" si="31"/>
        <v>0.31458333333333283</v>
      </c>
      <c r="BF217" t="e">
        <f t="shared" ca="1" si="29"/>
        <v>#VALUE!</v>
      </c>
      <c r="BG217" t="e">
        <f t="shared" ca="1" si="30"/>
        <v>#VALUE!</v>
      </c>
    </row>
    <row r="218" spans="57:59" ht="12" customHeight="1" x14ac:dyDescent="0.2">
      <c r="BE218" s="19">
        <f t="shared" si="31"/>
        <v>0.31527777777777727</v>
      </c>
      <c r="BF218" t="e">
        <f t="shared" ca="1" si="29"/>
        <v>#VALUE!</v>
      </c>
      <c r="BG218" t="e">
        <f t="shared" ca="1" si="30"/>
        <v>#VALUE!</v>
      </c>
    </row>
    <row r="219" spans="57:59" ht="12" customHeight="1" x14ac:dyDescent="0.2">
      <c r="BE219" s="19">
        <f t="shared" si="31"/>
        <v>0.31597222222222171</v>
      </c>
      <c r="BF219" t="e">
        <f t="shared" ca="1" si="29"/>
        <v>#VALUE!</v>
      </c>
      <c r="BG219" t="e">
        <f t="shared" ca="1" si="30"/>
        <v>#VALUE!</v>
      </c>
    </row>
    <row r="220" spans="57:59" ht="12" customHeight="1" x14ac:dyDescent="0.2">
      <c r="BE220" s="19">
        <f t="shared" si="31"/>
        <v>0.31666666666666615</v>
      </c>
      <c r="BF220" t="e">
        <f t="shared" ca="1" si="29"/>
        <v>#VALUE!</v>
      </c>
      <c r="BG220" t="e">
        <f t="shared" ca="1" si="30"/>
        <v>#VALUE!</v>
      </c>
    </row>
    <row r="221" spans="57:59" ht="12" customHeight="1" x14ac:dyDescent="0.2">
      <c r="BE221" s="19">
        <f t="shared" si="31"/>
        <v>0.31736111111111059</v>
      </c>
      <c r="BF221" t="e">
        <f t="shared" ca="1" si="29"/>
        <v>#VALUE!</v>
      </c>
      <c r="BG221" t="e">
        <f t="shared" ca="1" si="30"/>
        <v>#VALUE!</v>
      </c>
    </row>
    <row r="222" spans="57:59" ht="12" customHeight="1" x14ac:dyDescent="0.2">
      <c r="BE222" s="19">
        <f t="shared" si="31"/>
        <v>0.31805555555555504</v>
      </c>
      <c r="BF222" t="e">
        <f t="shared" ca="1" si="29"/>
        <v>#VALUE!</v>
      </c>
      <c r="BG222" t="e">
        <f t="shared" ca="1" si="30"/>
        <v>#VALUE!</v>
      </c>
    </row>
    <row r="223" spans="57:59" ht="12" customHeight="1" x14ac:dyDescent="0.2">
      <c r="BE223" s="19">
        <f t="shared" si="31"/>
        <v>0.31874999999999948</v>
      </c>
      <c r="BF223" t="e">
        <f t="shared" ca="1" si="29"/>
        <v>#VALUE!</v>
      </c>
      <c r="BG223" t="e">
        <f t="shared" ca="1" si="30"/>
        <v>#VALUE!</v>
      </c>
    </row>
    <row r="224" spans="57:59" ht="12" customHeight="1" x14ac:dyDescent="0.2">
      <c r="BE224" s="19">
        <f t="shared" si="31"/>
        <v>0.31944444444444392</v>
      </c>
      <c r="BF224" t="e">
        <f t="shared" ca="1" si="29"/>
        <v>#VALUE!</v>
      </c>
      <c r="BG224" t="e">
        <f t="shared" ca="1" si="30"/>
        <v>#VALUE!</v>
      </c>
    </row>
    <row r="225" spans="57:59" ht="12" customHeight="1" x14ac:dyDescent="0.2">
      <c r="BE225" s="19">
        <f t="shared" si="31"/>
        <v>0.32013888888888836</v>
      </c>
      <c r="BF225" t="e">
        <f t="shared" ca="1" si="29"/>
        <v>#VALUE!</v>
      </c>
      <c r="BG225" t="e">
        <f t="shared" ca="1" si="30"/>
        <v>#VALUE!</v>
      </c>
    </row>
    <row r="226" spans="57:59" ht="12" customHeight="1" x14ac:dyDescent="0.2">
      <c r="BE226" s="19">
        <f t="shared" si="31"/>
        <v>0.3208333333333328</v>
      </c>
      <c r="BF226" t="e">
        <f t="shared" ca="1" si="29"/>
        <v>#VALUE!</v>
      </c>
      <c r="BG226" t="e">
        <f t="shared" ca="1" si="30"/>
        <v>#VALUE!</v>
      </c>
    </row>
    <row r="227" spans="57:59" ht="12" customHeight="1" x14ac:dyDescent="0.2">
      <c r="BE227" s="19">
        <f t="shared" si="31"/>
        <v>0.32152777777777725</v>
      </c>
      <c r="BF227" t="e">
        <f t="shared" ca="1" si="29"/>
        <v>#VALUE!</v>
      </c>
      <c r="BG227" t="e">
        <f t="shared" ca="1" si="30"/>
        <v>#VALUE!</v>
      </c>
    </row>
    <row r="228" spans="57:59" ht="12" customHeight="1" x14ac:dyDescent="0.2">
      <c r="BE228" s="19">
        <f t="shared" si="31"/>
        <v>0.32222222222222169</v>
      </c>
      <c r="BF228" t="e">
        <f t="shared" ca="1" si="29"/>
        <v>#VALUE!</v>
      </c>
      <c r="BG228" t="e">
        <f t="shared" ca="1" si="30"/>
        <v>#VALUE!</v>
      </c>
    </row>
    <row r="229" spans="57:59" ht="12" customHeight="1" x14ac:dyDescent="0.2">
      <c r="BE229" s="19">
        <f t="shared" si="31"/>
        <v>0.32291666666666613</v>
      </c>
      <c r="BF229" t="e">
        <f t="shared" ca="1" si="29"/>
        <v>#VALUE!</v>
      </c>
      <c r="BG229" t="e">
        <f t="shared" ca="1" si="30"/>
        <v>#VALUE!</v>
      </c>
    </row>
    <row r="230" spans="57:59" ht="12" customHeight="1" x14ac:dyDescent="0.2">
      <c r="BE230" s="19">
        <f t="shared" si="31"/>
        <v>0.32361111111111057</v>
      </c>
      <c r="BF230" t="e">
        <f t="shared" ca="1" si="29"/>
        <v>#VALUE!</v>
      </c>
      <c r="BG230" t="e">
        <f t="shared" ca="1" si="30"/>
        <v>#VALUE!</v>
      </c>
    </row>
    <row r="231" spans="57:59" ht="12" customHeight="1" x14ac:dyDescent="0.2">
      <c r="BE231" s="19">
        <f t="shared" si="31"/>
        <v>0.32430555555555501</v>
      </c>
      <c r="BF231" t="e">
        <f t="shared" ca="1" si="29"/>
        <v>#VALUE!</v>
      </c>
      <c r="BG231" t="e">
        <f t="shared" ca="1" si="30"/>
        <v>#VALUE!</v>
      </c>
    </row>
    <row r="232" spans="57:59" ht="12" customHeight="1" x14ac:dyDescent="0.2">
      <c r="BE232" s="19">
        <f t="shared" si="31"/>
        <v>0.32499999999999946</v>
      </c>
      <c r="BF232" t="e">
        <f t="shared" ca="1" si="29"/>
        <v>#VALUE!</v>
      </c>
      <c r="BG232" t="e">
        <f t="shared" ca="1" si="30"/>
        <v>#VALUE!</v>
      </c>
    </row>
    <row r="233" spans="57:59" ht="12" customHeight="1" x14ac:dyDescent="0.2">
      <c r="BE233" s="19">
        <f t="shared" si="31"/>
        <v>0.3256944444444439</v>
      </c>
      <c r="BF233" t="e">
        <f t="shared" ca="1" si="29"/>
        <v>#VALUE!</v>
      </c>
      <c r="BG233" t="e">
        <f t="shared" ca="1" si="30"/>
        <v>#VALUE!</v>
      </c>
    </row>
    <row r="234" spans="57:59" ht="12" customHeight="1" x14ac:dyDescent="0.2">
      <c r="BE234" s="19">
        <f t="shared" si="31"/>
        <v>0.32638888888888834</v>
      </c>
      <c r="BF234" t="e">
        <f t="shared" ca="1" si="29"/>
        <v>#VALUE!</v>
      </c>
      <c r="BG234" t="e">
        <f t="shared" ca="1" si="30"/>
        <v>#VALUE!</v>
      </c>
    </row>
    <row r="235" spans="57:59" ht="12" customHeight="1" x14ac:dyDescent="0.2">
      <c r="BE235" s="19">
        <f t="shared" si="31"/>
        <v>0.32708333333333278</v>
      </c>
      <c r="BF235" t="e">
        <f t="shared" ca="1" si="29"/>
        <v>#VALUE!</v>
      </c>
      <c r="BG235" t="e">
        <f t="shared" ca="1" si="30"/>
        <v>#VALUE!</v>
      </c>
    </row>
    <row r="236" spans="57:59" ht="12" customHeight="1" x14ac:dyDescent="0.2">
      <c r="BE236" s="19">
        <f t="shared" si="31"/>
        <v>0.32777777777777722</v>
      </c>
      <c r="BF236" t="e">
        <f t="shared" ca="1" si="29"/>
        <v>#VALUE!</v>
      </c>
      <c r="BG236" t="e">
        <f t="shared" ca="1" si="30"/>
        <v>#VALUE!</v>
      </c>
    </row>
    <row r="237" spans="57:59" ht="12" customHeight="1" x14ac:dyDescent="0.2">
      <c r="BE237" s="19">
        <f t="shared" si="31"/>
        <v>0.32847222222222167</v>
      </c>
      <c r="BF237" t="e">
        <f t="shared" ca="1" si="29"/>
        <v>#VALUE!</v>
      </c>
      <c r="BG237" t="e">
        <f t="shared" ca="1" si="30"/>
        <v>#VALUE!</v>
      </c>
    </row>
    <row r="238" spans="57:59" ht="12" customHeight="1" x14ac:dyDescent="0.2">
      <c r="BE238" s="19">
        <f t="shared" si="31"/>
        <v>0.32916666666666611</v>
      </c>
      <c r="BF238" t="e">
        <f t="shared" ca="1" si="29"/>
        <v>#VALUE!</v>
      </c>
      <c r="BG238" t="e">
        <f t="shared" ca="1" si="30"/>
        <v>#VALUE!</v>
      </c>
    </row>
    <row r="239" spans="57:59" ht="12" customHeight="1" x14ac:dyDescent="0.2">
      <c r="BE239" s="19">
        <f t="shared" si="31"/>
        <v>0.32986111111111055</v>
      </c>
      <c r="BF239" t="e">
        <f t="shared" ca="1" si="29"/>
        <v>#VALUE!</v>
      </c>
      <c r="BG239" t="e">
        <f t="shared" ca="1" si="30"/>
        <v>#VALUE!</v>
      </c>
    </row>
    <row r="240" spans="57:59" ht="12" customHeight="1" x14ac:dyDescent="0.2">
      <c r="BE240" s="19">
        <f t="shared" si="31"/>
        <v>0.33055555555555499</v>
      </c>
      <c r="BF240" t="e">
        <f t="shared" ca="1" si="29"/>
        <v>#VALUE!</v>
      </c>
      <c r="BG240" t="e">
        <f t="shared" ca="1" si="30"/>
        <v>#VALUE!</v>
      </c>
    </row>
    <row r="241" spans="57:59" ht="12" customHeight="1" x14ac:dyDescent="0.2">
      <c r="BE241" s="19">
        <f t="shared" si="31"/>
        <v>0.33124999999999943</v>
      </c>
      <c r="BF241" t="e">
        <f t="shared" ca="1" si="29"/>
        <v>#VALUE!</v>
      </c>
      <c r="BG241" t="e">
        <f t="shared" ca="1" si="30"/>
        <v>#VALUE!</v>
      </c>
    </row>
    <row r="242" spans="57:59" ht="12" customHeight="1" x14ac:dyDescent="0.2">
      <c r="BE242" s="19">
        <f t="shared" si="31"/>
        <v>0.33194444444444388</v>
      </c>
      <c r="BF242" t="e">
        <f t="shared" ca="1" si="29"/>
        <v>#VALUE!</v>
      </c>
      <c r="BG242" t="e">
        <f t="shared" ca="1" si="30"/>
        <v>#VALUE!</v>
      </c>
    </row>
    <row r="243" spans="57:59" ht="12" customHeight="1" x14ac:dyDescent="0.2">
      <c r="BE243" s="19">
        <f t="shared" si="31"/>
        <v>0.33263888888888832</v>
      </c>
      <c r="BF243" t="e">
        <f t="shared" ca="1" si="29"/>
        <v>#VALUE!</v>
      </c>
      <c r="BG243" t="e">
        <f t="shared" ca="1" si="30"/>
        <v>#VALUE!</v>
      </c>
    </row>
    <row r="244" spans="57:59" ht="12" customHeight="1" x14ac:dyDescent="0.2">
      <c r="BE244" s="19">
        <f t="shared" si="31"/>
        <v>0.33333333333333276</v>
      </c>
      <c r="BF244" t="e">
        <f t="shared" ca="1" si="29"/>
        <v>#VALUE!</v>
      </c>
      <c r="BG244" t="e">
        <f t="shared" ca="1" si="30"/>
        <v>#VALUE!</v>
      </c>
    </row>
    <row r="245" spans="57:59" ht="12" customHeight="1" x14ac:dyDescent="0.2">
      <c r="BE245" s="19">
        <f t="shared" si="31"/>
        <v>0.3340277777777772</v>
      </c>
      <c r="BF245" t="e">
        <f t="shared" ca="1" si="29"/>
        <v>#VALUE!</v>
      </c>
      <c r="BG245" t="e">
        <f t="shared" ca="1" si="30"/>
        <v>#VALUE!</v>
      </c>
    </row>
    <row r="246" spans="57:59" ht="12" customHeight="1" x14ac:dyDescent="0.2">
      <c r="BE246" s="19">
        <f t="shared" si="31"/>
        <v>0.33472222222222164</v>
      </c>
      <c r="BF246" t="e">
        <f t="shared" ca="1" si="29"/>
        <v>#VALUE!</v>
      </c>
      <c r="BG246" t="e">
        <f t="shared" ca="1" si="30"/>
        <v>#VALUE!</v>
      </c>
    </row>
    <row r="247" spans="57:59" ht="12" customHeight="1" x14ac:dyDescent="0.2">
      <c r="BE247" s="19">
        <f t="shared" si="31"/>
        <v>0.33541666666666609</v>
      </c>
      <c r="BF247" t="e">
        <f t="shared" ca="1" si="29"/>
        <v>#VALUE!</v>
      </c>
      <c r="BG247" t="e">
        <f t="shared" ca="1" si="30"/>
        <v>#VALUE!</v>
      </c>
    </row>
    <row r="248" spans="57:59" ht="12" customHeight="1" x14ac:dyDescent="0.2">
      <c r="BE248" s="19">
        <f t="shared" si="31"/>
        <v>0.33611111111111053</v>
      </c>
      <c r="BF248" t="e">
        <f t="shared" ca="1" si="29"/>
        <v>#VALUE!</v>
      </c>
      <c r="BG248" t="e">
        <f t="shared" ca="1" si="30"/>
        <v>#VALUE!</v>
      </c>
    </row>
    <row r="249" spans="57:59" ht="12" customHeight="1" x14ac:dyDescent="0.2">
      <c r="BE249" s="19">
        <f t="shared" si="31"/>
        <v>0.33680555555555497</v>
      </c>
      <c r="BF249" t="e">
        <f t="shared" ca="1" si="29"/>
        <v>#VALUE!</v>
      </c>
      <c r="BG249" t="e">
        <f t="shared" ca="1" si="30"/>
        <v>#VALUE!</v>
      </c>
    </row>
    <row r="250" spans="57:59" ht="12" customHeight="1" x14ac:dyDescent="0.2">
      <c r="BE250" s="19">
        <f t="shared" si="31"/>
        <v>0.33749999999999941</v>
      </c>
      <c r="BF250" t="e">
        <f t="shared" ca="1" si="29"/>
        <v>#VALUE!</v>
      </c>
      <c r="BG250" t="e">
        <f t="shared" ca="1" si="30"/>
        <v>#VALUE!</v>
      </c>
    </row>
    <row r="251" spans="57:59" ht="12" customHeight="1" x14ac:dyDescent="0.2">
      <c r="BE251" s="19">
        <f t="shared" si="31"/>
        <v>0.33819444444444385</v>
      </c>
      <c r="BF251" t="e">
        <f t="shared" ca="1" si="29"/>
        <v>#VALUE!</v>
      </c>
      <c r="BG251" t="e">
        <f t="shared" ca="1" si="30"/>
        <v>#VALUE!</v>
      </c>
    </row>
    <row r="252" spans="57:59" ht="12" customHeight="1" x14ac:dyDescent="0.2">
      <c r="BE252" s="19">
        <f t="shared" si="31"/>
        <v>0.3388888888888883</v>
      </c>
      <c r="BF252" t="e">
        <f t="shared" ca="1" si="29"/>
        <v>#VALUE!</v>
      </c>
      <c r="BG252" t="e">
        <f t="shared" ca="1" si="30"/>
        <v>#VALUE!</v>
      </c>
    </row>
    <row r="253" spans="57:59" ht="12" customHeight="1" x14ac:dyDescent="0.2">
      <c r="BE253" s="19">
        <f t="shared" si="31"/>
        <v>0.33958333333333274</v>
      </c>
      <c r="BF253" t="e">
        <f t="shared" ca="1" si="29"/>
        <v>#VALUE!</v>
      </c>
      <c r="BG253" t="e">
        <f t="shared" ca="1" si="30"/>
        <v>#VALUE!</v>
      </c>
    </row>
    <row r="254" spans="57:59" ht="12" customHeight="1" x14ac:dyDescent="0.2">
      <c r="BE254" s="19">
        <f t="shared" si="31"/>
        <v>0.34027777777777718</v>
      </c>
      <c r="BF254" t="e">
        <f t="shared" ca="1" si="29"/>
        <v>#VALUE!</v>
      </c>
      <c r="BG254" t="e">
        <f t="shared" ca="1" si="30"/>
        <v>#VALUE!</v>
      </c>
    </row>
    <row r="255" spans="57:59" ht="12" customHeight="1" x14ac:dyDescent="0.2">
      <c r="BE255" s="19">
        <f t="shared" si="31"/>
        <v>0.34097222222222162</v>
      </c>
      <c r="BF255" t="e">
        <f t="shared" ca="1" si="29"/>
        <v>#VALUE!</v>
      </c>
      <c r="BG255" t="e">
        <f t="shared" ca="1" si="30"/>
        <v>#VALUE!</v>
      </c>
    </row>
    <row r="256" spans="57:59" ht="12" customHeight="1" x14ac:dyDescent="0.2">
      <c r="BE256" s="19">
        <f t="shared" si="31"/>
        <v>0.34166666666666606</v>
      </c>
      <c r="BF256" t="e">
        <f t="shared" ca="1" si="29"/>
        <v>#VALUE!</v>
      </c>
      <c r="BG256" t="e">
        <f t="shared" ca="1" si="30"/>
        <v>#VALUE!</v>
      </c>
    </row>
    <row r="257" spans="57:59" ht="12" customHeight="1" x14ac:dyDescent="0.2">
      <c r="BE257" s="19">
        <f t="shared" si="31"/>
        <v>0.34236111111111051</v>
      </c>
      <c r="BF257" t="e">
        <f t="shared" ca="1" si="29"/>
        <v>#VALUE!</v>
      </c>
      <c r="BG257" t="e">
        <f t="shared" ca="1" si="30"/>
        <v>#VALUE!</v>
      </c>
    </row>
    <row r="258" spans="57:59" ht="12" customHeight="1" x14ac:dyDescent="0.2">
      <c r="BE258" s="19">
        <f t="shared" si="31"/>
        <v>0.34305555555555495</v>
      </c>
      <c r="BF258" t="e">
        <f t="shared" ca="1" si="29"/>
        <v>#VALUE!</v>
      </c>
      <c r="BG258" t="e">
        <f t="shared" ca="1" si="30"/>
        <v>#VALUE!</v>
      </c>
    </row>
    <row r="259" spans="57:59" ht="12" customHeight="1" x14ac:dyDescent="0.2">
      <c r="BE259" s="19">
        <f t="shared" si="31"/>
        <v>0.34374999999999939</v>
      </c>
      <c r="BF259" t="e">
        <f t="shared" ca="1" si="29"/>
        <v>#VALUE!</v>
      </c>
      <c r="BG259" t="e">
        <f t="shared" ca="1" si="30"/>
        <v>#VALUE!</v>
      </c>
    </row>
    <row r="260" spans="57:59" ht="12" customHeight="1" x14ac:dyDescent="0.2">
      <c r="BE260" s="19">
        <f t="shared" si="31"/>
        <v>0.34444444444444383</v>
      </c>
      <c r="BF260" t="e">
        <f t="shared" ref="BF260:BF323" ca="1" si="32">IF(BG260=0,AVERAGE(OFFSET(BH260,0,0,1,$A$1-1)),AVERAGE(BG260,OFFSET(BH260,0,0,1,$A$1-1)))</f>
        <v>#VALUE!</v>
      </c>
      <c r="BG260" t="e">
        <f t="shared" ca="1" si="30"/>
        <v>#VALUE!</v>
      </c>
    </row>
    <row r="261" spans="57:59" ht="12" customHeight="1" x14ac:dyDescent="0.2">
      <c r="BE261" s="19">
        <f t="shared" si="31"/>
        <v>0.34513888888888827</v>
      </c>
      <c r="BF261" t="e">
        <f t="shared" ca="1" si="32"/>
        <v>#VALUE!</v>
      </c>
      <c r="BG261" t="e">
        <f t="shared" ref="BG261:BG324" ca="1" si="33">IF(BE261&lt;$B$5-1/1440,0,OFFSET($AA$4,(BE261-$B$4)*1440,0,1,1))</f>
        <v>#VALUE!</v>
      </c>
    </row>
    <row r="262" spans="57:59" ht="12" customHeight="1" x14ac:dyDescent="0.2">
      <c r="BE262" s="19">
        <f t="shared" ref="BE262:BE325" si="34">BE261+1/1440</f>
        <v>0.34583333333333272</v>
      </c>
      <c r="BF262" t="e">
        <f t="shared" ca="1" si="32"/>
        <v>#VALUE!</v>
      </c>
      <c r="BG262" t="e">
        <f t="shared" ca="1" si="33"/>
        <v>#VALUE!</v>
      </c>
    </row>
    <row r="263" spans="57:59" ht="12" customHeight="1" x14ac:dyDescent="0.2">
      <c r="BE263" s="19">
        <f t="shared" si="34"/>
        <v>0.34652777777777716</v>
      </c>
      <c r="BF263" t="e">
        <f t="shared" ca="1" si="32"/>
        <v>#VALUE!</v>
      </c>
      <c r="BG263" t="e">
        <f t="shared" ca="1" si="33"/>
        <v>#VALUE!</v>
      </c>
    </row>
    <row r="264" spans="57:59" ht="12" customHeight="1" x14ac:dyDescent="0.2">
      <c r="BE264" s="19">
        <f t="shared" si="34"/>
        <v>0.3472222222222216</v>
      </c>
      <c r="BF264" t="e">
        <f t="shared" ca="1" si="32"/>
        <v>#VALUE!</v>
      </c>
      <c r="BG264" t="e">
        <f t="shared" ca="1" si="33"/>
        <v>#VALUE!</v>
      </c>
    </row>
    <row r="265" spans="57:59" ht="12" customHeight="1" x14ac:dyDescent="0.2">
      <c r="BE265" s="19">
        <f t="shared" si="34"/>
        <v>0.34791666666666604</v>
      </c>
      <c r="BF265" t="e">
        <f t="shared" ca="1" si="32"/>
        <v>#VALUE!</v>
      </c>
      <c r="BG265" t="e">
        <f t="shared" ca="1" si="33"/>
        <v>#VALUE!</v>
      </c>
    </row>
    <row r="266" spans="57:59" ht="12" customHeight="1" x14ac:dyDescent="0.2">
      <c r="BE266" s="19">
        <f t="shared" si="34"/>
        <v>0.34861111111111048</v>
      </c>
      <c r="BF266" t="e">
        <f t="shared" ca="1" si="32"/>
        <v>#VALUE!</v>
      </c>
      <c r="BG266" t="e">
        <f t="shared" ca="1" si="33"/>
        <v>#VALUE!</v>
      </c>
    </row>
    <row r="267" spans="57:59" ht="12" customHeight="1" x14ac:dyDescent="0.2">
      <c r="BE267" s="19">
        <f t="shared" si="34"/>
        <v>0.34930555555555493</v>
      </c>
      <c r="BF267" t="e">
        <f t="shared" ca="1" si="32"/>
        <v>#VALUE!</v>
      </c>
      <c r="BG267" t="e">
        <f t="shared" ca="1" si="33"/>
        <v>#VALUE!</v>
      </c>
    </row>
    <row r="268" spans="57:59" ht="12" customHeight="1" x14ac:dyDescent="0.2">
      <c r="BE268" s="19">
        <f t="shared" si="34"/>
        <v>0.34999999999999937</v>
      </c>
      <c r="BF268" t="e">
        <f t="shared" ca="1" si="32"/>
        <v>#VALUE!</v>
      </c>
      <c r="BG268" t="e">
        <f t="shared" ca="1" si="33"/>
        <v>#VALUE!</v>
      </c>
    </row>
    <row r="269" spans="57:59" ht="12" customHeight="1" x14ac:dyDescent="0.2">
      <c r="BE269" s="19">
        <f t="shared" si="34"/>
        <v>0.35069444444444381</v>
      </c>
      <c r="BF269" t="e">
        <f t="shared" ca="1" si="32"/>
        <v>#VALUE!</v>
      </c>
      <c r="BG269" t="e">
        <f t="shared" ca="1" si="33"/>
        <v>#VALUE!</v>
      </c>
    </row>
    <row r="270" spans="57:59" ht="12" customHeight="1" x14ac:dyDescent="0.2">
      <c r="BE270" s="19">
        <f t="shared" si="34"/>
        <v>0.35138888888888825</v>
      </c>
      <c r="BF270" t="e">
        <f t="shared" ca="1" si="32"/>
        <v>#VALUE!</v>
      </c>
      <c r="BG270" t="e">
        <f t="shared" ca="1" si="33"/>
        <v>#VALUE!</v>
      </c>
    </row>
    <row r="271" spans="57:59" ht="12" customHeight="1" x14ac:dyDescent="0.2">
      <c r="BE271" s="19">
        <f t="shared" si="34"/>
        <v>0.35208333333333269</v>
      </c>
      <c r="BF271" t="e">
        <f t="shared" ca="1" si="32"/>
        <v>#VALUE!</v>
      </c>
      <c r="BG271" t="e">
        <f t="shared" ca="1" si="33"/>
        <v>#VALUE!</v>
      </c>
    </row>
    <row r="272" spans="57:59" ht="12" customHeight="1" x14ac:dyDescent="0.2">
      <c r="BE272" s="19">
        <f t="shared" si="34"/>
        <v>0.35277777777777714</v>
      </c>
      <c r="BF272" t="e">
        <f t="shared" ca="1" si="32"/>
        <v>#VALUE!</v>
      </c>
      <c r="BG272" t="e">
        <f t="shared" ca="1" si="33"/>
        <v>#VALUE!</v>
      </c>
    </row>
    <row r="273" spans="57:59" ht="12" customHeight="1" x14ac:dyDescent="0.2">
      <c r="BE273" s="19">
        <f t="shared" si="34"/>
        <v>0.35347222222222158</v>
      </c>
      <c r="BF273" t="e">
        <f t="shared" ca="1" si="32"/>
        <v>#VALUE!</v>
      </c>
      <c r="BG273" t="e">
        <f t="shared" ca="1" si="33"/>
        <v>#VALUE!</v>
      </c>
    </row>
    <row r="274" spans="57:59" ht="12" customHeight="1" x14ac:dyDescent="0.2">
      <c r="BE274" s="19">
        <f t="shared" si="34"/>
        <v>0.35416666666666602</v>
      </c>
      <c r="BF274" t="e">
        <f t="shared" ca="1" si="32"/>
        <v>#VALUE!</v>
      </c>
      <c r="BG274" t="e">
        <f t="shared" ca="1" si="33"/>
        <v>#VALUE!</v>
      </c>
    </row>
    <row r="275" spans="57:59" ht="12" customHeight="1" x14ac:dyDescent="0.2">
      <c r="BE275" s="19">
        <f t="shared" si="34"/>
        <v>0.35486111111111046</v>
      </c>
      <c r="BF275" t="e">
        <f t="shared" ca="1" si="32"/>
        <v>#VALUE!</v>
      </c>
      <c r="BG275" t="e">
        <f t="shared" ca="1" si="33"/>
        <v>#VALUE!</v>
      </c>
    </row>
    <row r="276" spans="57:59" ht="12" customHeight="1" x14ac:dyDescent="0.2">
      <c r="BE276" s="19">
        <f t="shared" si="34"/>
        <v>0.3555555555555549</v>
      </c>
      <c r="BF276" t="e">
        <f t="shared" ca="1" si="32"/>
        <v>#VALUE!</v>
      </c>
      <c r="BG276" t="e">
        <f t="shared" ca="1" si="33"/>
        <v>#VALUE!</v>
      </c>
    </row>
    <row r="277" spans="57:59" ht="12" customHeight="1" x14ac:dyDescent="0.2">
      <c r="BE277" s="19">
        <f t="shared" si="34"/>
        <v>0.35624999999999934</v>
      </c>
      <c r="BF277" t="e">
        <f t="shared" ca="1" si="32"/>
        <v>#VALUE!</v>
      </c>
      <c r="BG277" t="e">
        <f t="shared" ca="1" si="33"/>
        <v>#VALUE!</v>
      </c>
    </row>
    <row r="278" spans="57:59" ht="12" customHeight="1" x14ac:dyDescent="0.2">
      <c r="BE278" s="19">
        <f t="shared" si="34"/>
        <v>0.35694444444444379</v>
      </c>
      <c r="BF278" t="e">
        <f t="shared" ca="1" si="32"/>
        <v>#VALUE!</v>
      </c>
      <c r="BG278" t="e">
        <f t="shared" ca="1" si="33"/>
        <v>#VALUE!</v>
      </c>
    </row>
    <row r="279" spans="57:59" ht="12" customHeight="1" x14ac:dyDescent="0.2">
      <c r="BE279" s="19">
        <f t="shared" si="34"/>
        <v>0.35763888888888823</v>
      </c>
      <c r="BF279" t="e">
        <f t="shared" ca="1" si="32"/>
        <v>#VALUE!</v>
      </c>
      <c r="BG279" t="e">
        <f t="shared" ca="1" si="33"/>
        <v>#VALUE!</v>
      </c>
    </row>
    <row r="280" spans="57:59" ht="12" customHeight="1" x14ac:dyDescent="0.2">
      <c r="BE280" s="19">
        <f t="shared" si="34"/>
        <v>0.35833333333333267</v>
      </c>
      <c r="BF280" t="e">
        <f t="shared" ca="1" si="32"/>
        <v>#VALUE!</v>
      </c>
      <c r="BG280" t="e">
        <f t="shared" ca="1" si="33"/>
        <v>#VALUE!</v>
      </c>
    </row>
    <row r="281" spans="57:59" ht="12" customHeight="1" x14ac:dyDescent="0.2">
      <c r="BE281" s="19">
        <f t="shared" si="34"/>
        <v>0.35902777777777711</v>
      </c>
      <c r="BF281" t="e">
        <f t="shared" ca="1" si="32"/>
        <v>#VALUE!</v>
      </c>
      <c r="BG281" t="e">
        <f t="shared" ca="1" si="33"/>
        <v>#VALUE!</v>
      </c>
    </row>
    <row r="282" spans="57:59" ht="12" customHeight="1" x14ac:dyDescent="0.2">
      <c r="BE282" s="19">
        <f t="shared" si="34"/>
        <v>0.35972222222222155</v>
      </c>
      <c r="BF282" t="e">
        <f t="shared" ca="1" si="32"/>
        <v>#VALUE!</v>
      </c>
      <c r="BG282" t="e">
        <f t="shared" ca="1" si="33"/>
        <v>#VALUE!</v>
      </c>
    </row>
    <row r="283" spans="57:59" ht="12" customHeight="1" x14ac:dyDescent="0.2">
      <c r="BE283" s="19">
        <f t="shared" si="34"/>
        <v>0.360416666666666</v>
      </c>
      <c r="BF283" t="e">
        <f t="shared" ca="1" si="32"/>
        <v>#VALUE!</v>
      </c>
      <c r="BG283" t="e">
        <f t="shared" ca="1" si="33"/>
        <v>#VALUE!</v>
      </c>
    </row>
    <row r="284" spans="57:59" ht="12" customHeight="1" x14ac:dyDescent="0.2">
      <c r="BE284" s="19">
        <f t="shared" si="34"/>
        <v>0.36111111111111044</v>
      </c>
      <c r="BF284" t="e">
        <f t="shared" ca="1" si="32"/>
        <v>#VALUE!</v>
      </c>
      <c r="BG284" t="e">
        <f t="shared" ca="1" si="33"/>
        <v>#VALUE!</v>
      </c>
    </row>
    <row r="285" spans="57:59" ht="12" customHeight="1" x14ac:dyDescent="0.2">
      <c r="BE285" s="19">
        <f t="shared" si="34"/>
        <v>0.36180555555555488</v>
      </c>
      <c r="BF285" t="e">
        <f t="shared" ca="1" si="32"/>
        <v>#VALUE!</v>
      </c>
      <c r="BG285" t="e">
        <f t="shared" ca="1" si="33"/>
        <v>#VALUE!</v>
      </c>
    </row>
    <row r="286" spans="57:59" ht="12" customHeight="1" x14ac:dyDescent="0.2">
      <c r="BE286" s="19">
        <f t="shared" si="34"/>
        <v>0.36249999999999932</v>
      </c>
      <c r="BF286" t="e">
        <f t="shared" ca="1" si="32"/>
        <v>#VALUE!</v>
      </c>
      <c r="BG286" t="e">
        <f t="shared" ca="1" si="33"/>
        <v>#VALUE!</v>
      </c>
    </row>
    <row r="287" spans="57:59" ht="12" customHeight="1" x14ac:dyDescent="0.2">
      <c r="BE287" s="19">
        <f t="shared" si="34"/>
        <v>0.36319444444444376</v>
      </c>
      <c r="BF287" t="e">
        <f t="shared" ca="1" si="32"/>
        <v>#VALUE!</v>
      </c>
      <c r="BG287" t="e">
        <f t="shared" ca="1" si="33"/>
        <v>#VALUE!</v>
      </c>
    </row>
    <row r="288" spans="57:59" ht="12" customHeight="1" x14ac:dyDescent="0.2">
      <c r="BE288" s="19">
        <f t="shared" si="34"/>
        <v>0.36388888888888821</v>
      </c>
      <c r="BF288" t="e">
        <f t="shared" ca="1" si="32"/>
        <v>#VALUE!</v>
      </c>
      <c r="BG288" t="e">
        <f t="shared" ca="1" si="33"/>
        <v>#VALUE!</v>
      </c>
    </row>
    <row r="289" spans="57:59" ht="12" customHeight="1" x14ac:dyDescent="0.2">
      <c r="BE289" s="19">
        <f t="shared" si="34"/>
        <v>0.36458333333333265</v>
      </c>
      <c r="BF289" t="e">
        <f t="shared" ca="1" si="32"/>
        <v>#VALUE!</v>
      </c>
      <c r="BG289" t="e">
        <f t="shared" ca="1" si="33"/>
        <v>#VALUE!</v>
      </c>
    </row>
    <row r="290" spans="57:59" ht="12" customHeight="1" x14ac:dyDescent="0.2">
      <c r="BE290" s="19">
        <f t="shared" si="34"/>
        <v>0.36527777777777709</v>
      </c>
      <c r="BF290" t="e">
        <f t="shared" ca="1" si="32"/>
        <v>#VALUE!</v>
      </c>
      <c r="BG290" t="e">
        <f t="shared" ca="1" si="33"/>
        <v>#VALUE!</v>
      </c>
    </row>
    <row r="291" spans="57:59" ht="12" customHeight="1" x14ac:dyDescent="0.2">
      <c r="BE291" s="19">
        <f t="shared" si="34"/>
        <v>0.36597222222222153</v>
      </c>
      <c r="BF291" t="e">
        <f t="shared" ca="1" si="32"/>
        <v>#VALUE!</v>
      </c>
      <c r="BG291" t="e">
        <f t="shared" ca="1" si="33"/>
        <v>#VALUE!</v>
      </c>
    </row>
    <row r="292" spans="57:59" ht="12" customHeight="1" x14ac:dyDescent="0.2">
      <c r="BE292" s="19">
        <f t="shared" si="34"/>
        <v>0.36666666666666597</v>
      </c>
      <c r="BF292" t="e">
        <f t="shared" ca="1" si="32"/>
        <v>#VALUE!</v>
      </c>
      <c r="BG292" t="e">
        <f t="shared" ca="1" si="33"/>
        <v>#VALUE!</v>
      </c>
    </row>
    <row r="293" spans="57:59" ht="12" customHeight="1" x14ac:dyDescent="0.2">
      <c r="BE293" s="19">
        <f t="shared" si="34"/>
        <v>0.36736111111111042</v>
      </c>
      <c r="BF293" t="e">
        <f t="shared" ca="1" si="32"/>
        <v>#VALUE!</v>
      </c>
      <c r="BG293" t="e">
        <f t="shared" ca="1" si="33"/>
        <v>#VALUE!</v>
      </c>
    </row>
    <row r="294" spans="57:59" ht="12" customHeight="1" x14ac:dyDescent="0.2">
      <c r="BE294" s="19">
        <f t="shared" si="34"/>
        <v>0.36805555555555486</v>
      </c>
      <c r="BF294" t="e">
        <f t="shared" ca="1" si="32"/>
        <v>#VALUE!</v>
      </c>
      <c r="BG294" t="e">
        <f t="shared" ca="1" si="33"/>
        <v>#VALUE!</v>
      </c>
    </row>
    <row r="295" spans="57:59" ht="12" customHeight="1" x14ac:dyDescent="0.2">
      <c r="BE295" s="19">
        <f t="shared" si="34"/>
        <v>0.3687499999999993</v>
      </c>
      <c r="BF295" t="e">
        <f t="shared" ca="1" si="32"/>
        <v>#VALUE!</v>
      </c>
      <c r="BG295" t="e">
        <f t="shared" ca="1" si="33"/>
        <v>#VALUE!</v>
      </c>
    </row>
    <row r="296" spans="57:59" ht="12" customHeight="1" x14ac:dyDescent="0.2">
      <c r="BE296" s="19">
        <f t="shared" si="34"/>
        <v>0.36944444444444374</v>
      </c>
      <c r="BF296" t="e">
        <f t="shared" ca="1" si="32"/>
        <v>#VALUE!</v>
      </c>
      <c r="BG296" t="e">
        <f t="shared" ca="1" si="33"/>
        <v>#VALUE!</v>
      </c>
    </row>
    <row r="297" spans="57:59" ht="12" customHeight="1" x14ac:dyDescent="0.2">
      <c r="BE297" s="19">
        <f t="shared" si="34"/>
        <v>0.37013888888888818</v>
      </c>
      <c r="BF297" t="e">
        <f t="shared" ca="1" si="32"/>
        <v>#VALUE!</v>
      </c>
      <c r="BG297" t="e">
        <f t="shared" ca="1" si="33"/>
        <v>#VALUE!</v>
      </c>
    </row>
    <row r="298" spans="57:59" ht="12" customHeight="1" x14ac:dyDescent="0.2">
      <c r="BE298" s="19">
        <f t="shared" si="34"/>
        <v>0.37083333333333263</v>
      </c>
      <c r="BF298" t="e">
        <f t="shared" ca="1" si="32"/>
        <v>#VALUE!</v>
      </c>
      <c r="BG298" t="e">
        <f t="shared" ca="1" si="33"/>
        <v>#VALUE!</v>
      </c>
    </row>
    <row r="299" spans="57:59" ht="12" customHeight="1" x14ac:dyDescent="0.2">
      <c r="BE299" s="19">
        <f t="shared" si="34"/>
        <v>0.37152777777777707</v>
      </c>
      <c r="BF299" t="e">
        <f t="shared" ca="1" si="32"/>
        <v>#VALUE!</v>
      </c>
      <c r="BG299" t="e">
        <f t="shared" ca="1" si="33"/>
        <v>#VALUE!</v>
      </c>
    </row>
    <row r="300" spans="57:59" ht="12" customHeight="1" x14ac:dyDescent="0.2">
      <c r="BE300" s="19">
        <f t="shared" si="34"/>
        <v>0.37222222222222151</v>
      </c>
      <c r="BF300" t="e">
        <f t="shared" ca="1" si="32"/>
        <v>#VALUE!</v>
      </c>
      <c r="BG300" t="e">
        <f t="shared" ca="1" si="33"/>
        <v>#VALUE!</v>
      </c>
    </row>
    <row r="301" spans="57:59" ht="12" customHeight="1" x14ac:dyDescent="0.2">
      <c r="BE301" s="19">
        <f t="shared" si="34"/>
        <v>0.37291666666666595</v>
      </c>
      <c r="BF301" t="e">
        <f t="shared" ca="1" si="32"/>
        <v>#VALUE!</v>
      </c>
      <c r="BG301" t="e">
        <f t="shared" ca="1" si="33"/>
        <v>#VALUE!</v>
      </c>
    </row>
    <row r="302" spans="57:59" ht="12" customHeight="1" x14ac:dyDescent="0.2">
      <c r="BE302" s="19">
        <f t="shared" si="34"/>
        <v>0.37361111111111039</v>
      </c>
      <c r="BF302" t="e">
        <f t="shared" ca="1" si="32"/>
        <v>#VALUE!</v>
      </c>
      <c r="BG302" t="e">
        <f t="shared" ca="1" si="33"/>
        <v>#VALUE!</v>
      </c>
    </row>
    <row r="303" spans="57:59" ht="12" customHeight="1" x14ac:dyDescent="0.2">
      <c r="BE303" s="19">
        <f t="shared" si="34"/>
        <v>0.37430555555555484</v>
      </c>
      <c r="BF303" t="e">
        <f t="shared" ca="1" si="32"/>
        <v>#VALUE!</v>
      </c>
      <c r="BG303" t="e">
        <f t="shared" ca="1" si="33"/>
        <v>#VALUE!</v>
      </c>
    </row>
    <row r="304" spans="57:59" ht="12" customHeight="1" x14ac:dyDescent="0.2">
      <c r="BE304" s="19">
        <f t="shared" si="34"/>
        <v>0.37499999999999928</v>
      </c>
      <c r="BF304" t="e">
        <f t="shared" ca="1" si="32"/>
        <v>#VALUE!</v>
      </c>
      <c r="BG304" t="e">
        <f t="shared" ca="1" si="33"/>
        <v>#VALUE!</v>
      </c>
    </row>
    <row r="305" spans="57:59" ht="12" customHeight="1" x14ac:dyDescent="0.2">
      <c r="BE305" s="19">
        <f t="shared" si="34"/>
        <v>0.37569444444444372</v>
      </c>
      <c r="BF305" t="e">
        <f t="shared" ca="1" si="32"/>
        <v>#VALUE!</v>
      </c>
      <c r="BG305" t="e">
        <f t="shared" ca="1" si="33"/>
        <v>#VALUE!</v>
      </c>
    </row>
    <row r="306" spans="57:59" ht="12" customHeight="1" x14ac:dyDescent="0.2">
      <c r="BE306" s="19">
        <f t="shared" si="34"/>
        <v>0.37638888888888816</v>
      </c>
      <c r="BF306" t="e">
        <f t="shared" ca="1" si="32"/>
        <v>#VALUE!</v>
      </c>
      <c r="BG306" t="e">
        <f t="shared" ca="1" si="33"/>
        <v>#VALUE!</v>
      </c>
    </row>
    <row r="307" spans="57:59" ht="12" customHeight="1" x14ac:dyDescent="0.2">
      <c r="BE307" s="19">
        <f t="shared" si="34"/>
        <v>0.3770833333333326</v>
      </c>
      <c r="BF307" t="e">
        <f t="shared" ca="1" si="32"/>
        <v>#VALUE!</v>
      </c>
      <c r="BG307" t="e">
        <f t="shared" ca="1" si="33"/>
        <v>#VALUE!</v>
      </c>
    </row>
    <row r="308" spans="57:59" ht="12" customHeight="1" x14ac:dyDescent="0.2">
      <c r="BE308" s="19">
        <f t="shared" si="34"/>
        <v>0.37777777777777705</v>
      </c>
      <c r="BF308" t="e">
        <f t="shared" ca="1" si="32"/>
        <v>#VALUE!</v>
      </c>
      <c r="BG308" t="e">
        <f t="shared" ca="1" si="33"/>
        <v>#VALUE!</v>
      </c>
    </row>
    <row r="309" spans="57:59" ht="12" customHeight="1" x14ac:dyDescent="0.2">
      <c r="BE309" s="19">
        <f t="shared" si="34"/>
        <v>0.37847222222222149</v>
      </c>
      <c r="BF309" t="e">
        <f t="shared" ca="1" si="32"/>
        <v>#VALUE!</v>
      </c>
      <c r="BG309" t="e">
        <f t="shared" ca="1" si="33"/>
        <v>#VALUE!</v>
      </c>
    </row>
    <row r="310" spans="57:59" ht="12" customHeight="1" x14ac:dyDescent="0.2">
      <c r="BE310" s="19">
        <f t="shared" si="34"/>
        <v>0.37916666666666593</v>
      </c>
      <c r="BF310" t="e">
        <f t="shared" ca="1" si="32"/>
        <v>#VALUE!</v>
      </c>
      <c r="BG310" t="e">
        <f t="shared" ca="1" si="33"/>
        <v>#VALUE!</v>
      </c>
    </row>
    <row r="311" spans="57:59" ht="12" customHeight="1" x14ac:dyDescent="0.2">
      <c r="BE311" s="19">
        <f t="shared" si="34"/>
        <v>0.37986111111111037</v>
      </c>
      <c r="BF311" t="e">
        <f t="shared" ca="1" si="32"/>
        <v>#VALUE!</v>
      </c>
      <c r="BG311" t="e">
        <f t="shared" ca="1" si="33"/>
        <v>#VALUE!</v>
      </c>
    </row>
    <row r="312" spans="57:59" ht="12" customHeight="1" x14ac:dyDescent="0.2">
      <c r="BE312" s="19">
        <f t="shared" si="34"/>
        <v>0.38055555555555481</v>
      </c>
      <c r="BF312" t="e">
        <f t="shared" ca="1" si="32"/>
        <v>#VALUE!</v>
      </c>
      <c r="BG312" t="e">
        <f t="shared" ca="1" si="33"/>
        <v>#VALUE!</v>
      </c>
    </row>
    <row r="313" spans="57:59" ht="12" customHeight="1" x14ac:dyDescent="0.2">
      <c r="BE313" s="19">
        <f t="shared" si="34"/>
        <v>0.38124999999999926</v>
      </c>
      <c r="BF313" t="e">
        <f t="shared" ca="1" si="32"/>
        <v>#VALUE!</v>
      </c>
      <c r="BG313" t="e">
        <f t="shared" ca="1" si="33"/>
        <v>#VALUE!</v>
      </c>
    </row>
    <row r="314" spans="57:59" ht="12" customHeight="1" x14ac:dyDescent="0.2">
      <c r="BE314" s="19">
        <f t="shared" si="34"/>
        <v>0.3819444444444437</v>
      </c>
      <c r="BF314" t="e">
        <f t="shared" ca="1" si="32"/>
        <v>#VALUE!</v>
      </c>
      <c r="BG314" t="e">
        <f t="shared" ca="1" si="33"/>
        <v>#VALUE!</v>
      </c>
    </row>
    <row r="315" spans="57:59" ht="12" customHeight="1" x14ac:dyDescent="0.2">
      <c r="BE315" s="19">
        <f t="shared" si="34"/>
        <v>0.38263888888888814</v>
      </c>
      <c r="BF315" t="e">
        <f t="shared" ca="1" si="32"/>
        <v>#VALUE!</v>
      </c>
      <c r="BG315" t="e">
        <f t="shared" ca="1" si="33"/>
        <v>#VALUE!</v>
      </c>
    </row>
    <row r="316" spans="57:59" ht="12" customHeight="1" x14ac:dyDescent="0.2">
      <c r="BE316" s="19">
        <f t="shared" si="34"/>
        <v>0.38333333333333258</v>
      </c>
      <c r="BF316" t="e">
        <f t="shared" ca="1" si="32"/>
        <v>#VALUE!</v>
      </c>
      <c r="BG316" t="e">
        <f t="shared" ca="1" si="33"/>
        <v>#VALUE!</v>
      </c>
    </row>
    <row r="317" spans="57:59" ht="12" customHeight="1" x14ac:dyDescent="0.2">
      <c r="BE317" s="19">
        <f t="shared" si="34"/>
        <v>0.38402777777777702</v>
      </c>
      <c r="BF317" t="e">
        <f t="shared" ca="1" si="32"/>
        <v>#VALUE!</v>
      </c>
      <c r="BG317" t="e">
        <f t="shared" ca="1" si="33"/>
        <v>#VALUE!</v>
      </c>
    </row>
    <row r="318" spans="57:59" ht="12" customHeight="1" x14ac:dyDescent="0.2">
      <c r="BE318" s="19">
        <f t="shared" si="34"/>
        <v>0.38472222222222147</v>
      </c>
      <c r="BF318" t="e">
        <f t="shared" ca="1" si="32"/>
        <v>#VALUE!</v>
      </c>
      <c r="BG318" t="e">
        <f t="shared" ca="1" si="33"/>
        <v>#VALUE!</v>
      </c>
    </row>
    <row r="319" spans="57:59" ht="12" customHeight="1" x14ac:dyDescent="0.2">
      <c r="BE319" s="19">
        <f t="shared" si="34"/>
        <v>0.38541666666666591</v>
      </c>
      <c r="BF319" t="e">
        <f t="shared" ca="1" si="32"/>
        <v>#VALUE!</v>
      </c>
      <c r="BG319" t="e">
        <f t="shared" ca="1" si="33"/>
        <v>#VALUE!</v>
      </c>
    </row>
    <row r="320" spans="57:59" ht="12" customHeight="1" x14ac:dyDescent="0.2">
      <c r="BE320" s="19">
        <f t="shared" si="34"/>
        <v>0.38611111111111035</v>
      </c>
      <c r="BF320" t="e">
        <f t="shared" ca="1" si="32"/>
        <v>#VALUE!</v>
      </c>
      <c r="BG320" t="e">
        <f t="shared" ca="1" si="33"/>
        <v>#VALUE!</v>
      </c>
    </row>
    <row r="321" spans="57:59" ht="12" customHeight="1" x14ac:dyDescent="0.2">
      <c r="BE321" s="19">
        <f t="shared" si="34"/>
        <v>0.38680555555555479</v>
      </c>
      <c r="BF321" t="e">
        <f t="shared" ca="1" si="32"/>
        <v>#VALUE!</v>
      </c>
      <c r="BG321" t="e">
        <f t="shared" ca="1" si="33"/>
        <v>#VALUE!</v>
      </c>
    </row>
    <row r="322" spans="57:59" ht="12" customHeight="1" x14ac:dyDescent="0.2">
      <c r="BE322" s="19">
        <f t="shared" si="34"/>
        <v>0.38749999999999923</v>
      </c>
      <c r="BF322" t="e">
        <f t="shared" ca="1" si="32"/>
        <v>#VALUE!</v>
      </c>
      <c r="BG322" t="e">
        <f t="shared" ca="1" si="33"/>
        <v>#VALUE!</v>
      </c>
    </row>
    <row r="323" spans="57:59" ht="12" customHeight="1" x14ac:dyDescent="0.2">
      <c r="BE323" s="19">
        <f t="shared" si="34"/>
        <v>0.38819444444444368</v>
      </c>
      <c r="BF323" t="e">
        <f t="shared" ca="1" si="32"/>
        <v>#VALUE!</v>
      </c>
      <c r="BG323" t="e">
        <f t="shared" ca="1" si="33"/>
        <v>#VALUE!</v>
      </c>
    </row>
    <row r="324" spans="57:59" ht="12" customHeight="1" x14ac:dyDescent="0.2">
      <c r="BE324" s="19">
        <f t="shared" si="34"/>
        <v>0.38888888888888812</v>
      </c>
      <c r="BF324" t="e">
        <f t="shared" ref="BF324:BF387" ca="1" si="35">IF(BG324=0,AVERAGE(OFFSET(BH324,0,0,1,$A$1-1)),AVERAGE(BG324,OFFSET(BH324,0,0,1,$A$1-1)))</f>
        <v>#VALUE!</v>
      </c>
      <c r="BG324" t="e">
        <f t="shared" ca="1" si="33"/>
        <v>#VALUE!</v>
      </c>
    </row>
    <row r="325" spans="57:59" ht="12" customHeight="1" x14ac:dyDescent="0.2">
      <c r="BE325" s="19">
        <f t="shared" si="34"/>
        <v>0.38958333333333256</v>
      </c>
      <c r="BF325" t="e">
        <f t="shared" ca="1" si="35"/>
        <v>#VALUE!</v>
      </c>
      <c r="BG325" t="e">
        <f t="shared" ref="BG325:BG388" ca="1" si="36">IF(BE325&lt;$B$5-1/1440,0,OFFSET($AA$4,(BE325-$B$4)*1440,0,1,1))</f>
        <v>#VALUE!</v>
      </c>
    </row>
    <row r="326" spans="57:59" ht="12" customHeight="1" x14ac:dyDescent="0.2">
      <c r="BE326" s="19">
        <f t="shared" ref="BE326:BE389" si="37">BE325+1/1440</f>
        <v>0.390277777777777</v>
      </c>
      <c r="BF326" t="e">
        <f t="shared" ca="1" si="35"/>
        <v>#VALUE!</v>
      </c>
      <c r="BG326" t="e">
        <f t="shared" ca="1" si="36"/>
        <v>#VALUE!</v>
      </c>
    </row>
    <row r="327" spans="57:59" ht="12" customHeight="1" x14ac:dyDescent="0.2">
      <c r="BE327" s="19">
        <f t="shared" si="37"/>
        <v>0.39097222222222144</v>
      </c>
      <c r="BF327" t="e">
        <f t="shared" ca="1" si="35"/>
        <v>#VALUE!</v>
      </c>
      <c r="BG327" t="e">
        <f t="shared" ca="1" si="36"/>
        <v>#VALUE!</v>
      </c>
    </row>
    <row r="328" spans="57:59" ht="12" customHeight="1" x14ac:dyDescent="0.2">
      <c r="BE328" s="19">
        <f t="shared" si="37"/>
        <v>0.39166666666666589</v>
      </c>
      <c r="BF328" t="e">
        <f t="shared" ca="1" si="35"/>
        <v>#VALUE!</v>
      </c>
      <c r="BG328" t="e">
        <f t="shared" ca="1" si="36"/>
        <v>#VALUE!</v>
      </c>
    </row>
    <row r="329" spans="57:59" ht="12" customHeight="1" x14ac:dyDescent="0.2">
      <c r="BE329" s="19">
        <f t="shared" si="37"/>
        <v>0.39236111111111033</v>
      </c>
      <c r="BF329" t="e">
        <f t="shared" ca="1" si="35"/>
        <v>#VALUE!</v>
      </c>
      <c r="BG329" t="e">
        <f t="shared" ca="1" si="36"/>
        <v>#VALUE!</v>
      </c>
    </row>
    <row r="330" spans="57:59" ht="12" customHeight="1" x14ac:dyDescent="0.2">
      <c r="BE330" s="19">
        <f t="shared" si="37"/>
        <v>0.39305555555555477</v>
      </c>
      <c r="BF330" t="e">
        <f t="shared" ca="1" si="35"/>
        <v>#VALUE!</v>
      </c>
      <c r="BG330" t="e">
        <f t="shared" ca="1" si="36"/>
        <v>#VALUE!</v>
      </c>
    </row>
    <row r="331" spans="57:59" ht="12" customHeight="1" x14ac:dyDescent="0.2">
      <c r="BE331" s="19">
        <f t="shared" si="37"/>
        <v>0.39374999999999921</v>
      </c>
      <c r="BF331" t="e">
        <f t="shared" ca="1" si="35"/>
        <v>#VALUE!</v>
      </c>
      <c r="BG331" t="e">
        <f t="shared" ca="1" si="36"/>
        <v>#VALUE!</v>
      </c>
    </row>
    <row r="332" spans="57:59" ht="12" customHeight="1" x14ac:dyDescent="0.2">
      <c r="BE332" s="19">
        <f t="shared" si="37"/>
        <v>0.39444444444444365</v>
      </c>
      <c r="BF332" t="e">
        <f t="shared" ca="1" si="35"/>
        <v>#VALUE!</v>
      </c>
      <c r="BG332" t="e">
        <f t="shared" ca="1" si="36"/>
        <v>#VALUE!</v>
      </c>
    </row>
    <row r="333" spans="57:59" ht="12" customHeight="1" x14ac:dyDescent="0.2">
      <c r="BE333" s="19">
        <f t="shared" si="37"/>
        <v>0.3951388888888881</v>
      </c>
      <c r="BF333" t="e">
        <f t="shared" ca="1" si="35"/>
        <v>#VALUE!</v>
      </c>
      <c r="BG333" t="e">
        <f t="shared" ca="1" si="36"/>
        <v>#VALUE!</v>
      </c>
    </row>
    <row r="334" spans="57:59" ht="12" customHeight="1" x14ac:dyDescent="0.2">
      <c r="BE334" s="19">
        <f t="shared" si="37"/>
        <v>0.39583333333333254</v>
      </c>
      <c r="BF334" t="e">
        <f t="shared" ca="1" si="35"/>
        <v>#VALUE!</v>
      </c>
      <c r="BG334" t="e">
        <f t="shared" ca="1" si="36"/>
        <v>#VALUE!</v>
      </c>
    </row>
    <row r="335" spans="57:59" ht="12" customHeight="1" x14ac:dyDescent="0.2">
      <c r="BE335" s="19">
        <f t="shared" si="37"/>
        <v>0.39652777777777698</v>
      </c>
      <c r="BF335" t="e">
        <f t="shared" ca="1" si="35"/>
        <v>#VALUE!</v>
      </c>
      <c r="BG335" t="e">
        <f t="shared" ca="1" si="36"/>
        <v>#VALUE!</v>
      </c>
    </row>
    <row r="336" spans="57:59" ht="12" customHeight="1" x14ac:dyDescent="0.2">
      <c r="BE336" s="19">
        <f t="shared" si="37"/>
        <v>0.39722222222222142</v>
      </c>
      <c r="BF336" t="e">
        <f t="shared" ca="1" si="35"/>
        <v>#VALUE!</v>
      </c>
      <c r="BG336" t="e">
        <f t="shared" ca="1" si="36"/>
        <v>#VALUE!</v>
      </c>
    </row>
    <row r="337" spans="57:59" ht="12" customHeight="1" x14ac:dyDescent="0.2">
      <c r="BE337" s="19">
        <f t="shared" si="37"/>
        <v>0.39791666666666586</v>
      </c>
      <c r="BF337" t="e">
        <f t="shared" ca="1" si="35"/>
        <v>#VALUE!</v>
      </c>
      <c r="BG337" t="e">
        <f t="shared" ca="1" si="36"/>
        <v>#VALUE!</v>
      </c>
    </row>
    <row r="338" spans="57:59" ht="12" customHeight="1" x14ac:dyDescent="0.2">
      <c r="BE338" s="19">
        <f t="shared" si="37"/>
        <v>0.39861111111111031</v>
      </c>
      <c r="BF338" t="e">
        <f t="shared" ca="1" si="35"/>
        <v>#VALUE!</v>
      </c>
      <c r="BG338" t="e">
        <f t="shared" ca="1" si="36"/>
        <v>#VALUE!</v>
      </c>
    </row>
    <row r="339" spans="57:59" ht="12" customHeight="1" x14ac:dyDescent="0.2">
      <c r="BE339" s="19">
        <f t="shared" si="37"/>
        <v>0.39930555555555475</v>
      </c>
      <c r="BF339" t="e">
        <f t="shared" ca="1" si="35"/>
        <v>#VALUE!</v>
      </c>
      <c r="BG339" t="e">
        <f t="shared" ca="1" si="36"/>
        <v>#VALUE!</v>
      </c>
    </row>
    <row r="340" spans="57:59" ht="12" customHeight="1" x14ac:dyDescent="0.2">
      <c r="BE340" s="19">
        <f t="shared" si="37"/>
        <v>0.39999999999999919</v>
      </c>
      <c r="BF340" t="e">
        <f t="shared" ca="1" si="35"/>
        <v>#VALUE!</v>
      </c>
      <c r="BG340" t="e">
        <f t="shared" ca="1" si="36"/>
        <v>#VALUE!</v>
      </c>
    </row>
    <row r="341" spans="57:59" ht="12" customHeight="1" x14ac:dyDescent="0.2">
      <c r="BE341" s="19">
        <f t="shared" si="37"/>
        <v>0.40069444444444363</v>
      </c>
      <c r="BF341" t="e">
        <f t="shared" ca="1" si="35"/>
        <v>#VALUE!</v>
      </c>
      <c r="BG341" t="e">
        <f t="shared" ca="1" si="36"/>
        <v>#VALUE!</v>
      </c>
    </row>
    <row r="342" spans="57:59" ht="12" customHeight="1" x14ac:dyDescent="0.2">
      <c r="BE342" s="19">
        <f t="shared" si="37"/>
        <v>0.40138888888888807</v>
      </c>
      <c r="BF342" t="e">
        <f t="shared" ca="1" si="35"/>
        <v>#VALUE!</v>
      </c>
      <c r="BG342" t="e">
        <f t="shared" ca="1" si="36"/>
        <v>#VALUE!</v>
      </c>
    </row>
    <row r="343" spans="57:59" ht="12" customHeight="1" x14ac:dyDescent="0.2">
      <c r="BE343" s="19">
        <f t="shared" si="37"/>
        <v>0.40208333333333252</v>
      </c>
      <c r="BF343" t="e">
        <f t="shared" ca="1" si="35"/>
        <v>#VALUE!</v>
      </c>
      <c r="BG343" t="e">
        <f t="shared" ca="1" si="36"/>
        <v>#VALUE!</v>
      </c>
    </row>
    <row r="344" spans="57:59" ht="12" customHeight="1" x14ac:dyDescent="0.2">
      <c r="BE344" s="19">
        <f t="shared" si="37"/>
        <v>0.40277777777777696</v>
      </c>
      <c r="BF344" t="e">
        <f t="shared" ca="1" si="35"/>
        <v>#VALUE!</v>
      </c>
      <c r="BG344" t="e">
        <f t="shared" ca="1" si="36"/>
        <v>#VALUE!</v>
      </c>
    </row>
    <row r="345" spans="57:59" ht="12" customHeight="1" x14ac:dyDescent="0.2">
      <c r="BE345" s="19">
        <f t="shared" si="37"/>
        <v>0.4034722222222214</v>
      </c>
      <c r="BF345" t="e">
        <f t="shared" ca="1" si="35"/>
        <v>#VALUE!</v>
      </c>
      <c r="BG345" t="e">
        <f t="shared" ca="1" si="36"/>
        <v>#VALUE!</v>
      </c>
    </row>
    <row r="346" spans="57:59" ht="12" customHeight="1" x14ac:dyDescent="0.2">
      <c r="BE346" s="19">
        <f t="shared" si="37"/>
        <v>0.40416666666666584</v>
      </c>
      <c r="BF346" t="e">
        <f t="shared" ca="1" si="35"/>
        <v>#VALUE!</v>
      </c>
      <c r="BG346" t="e">
        <f t="shared" ca="1" si="36"/>
        <v>#VALUE!</v>
      </c>
    </row>
    <row r="347" spans="57:59" ht="12" customHeight="1" x14ac:dyDescent="0.2">
      <c r="BE347" s="19">
        <f t="shared" si="37"/>
        <v>0.40486111111111028</v>
      </c>
      <c r="BF347" t="e">
        <f t="shared" ca="1" si="35"/>
        <v>#VALUE!</v>
      </c>
      <c r="BG347" t="e">
        <f t="shared" ca="1" si="36"/>
        <v>#VALUE!</v>
      </c>
    </row>
    <row r="348" spans="57:59" ht="12" customHeight="1" x14ac:dyDescent="0.2">
      <c r="BE348" s="19">
        <f t="shared" si="37"/>
        <v>0.40555555555555473</v>
      </c>
      <c r="BF348" t="e">
        <f t="shared" ca="1" si="35"/>
        <v>#VALUE!</v>
      </c>
      <c r="BG348" t="e">
        <f t="shared" ca="1" si="36"/>
        <v>#VALUE!</v>
      </c>
    </row>
    <row r="349" spans="57:59" ht="12" customHeight="1" x14ac:dyDescent="0.2">
      <c r="BE349" s="19">
        <f t="shared" si="37"/>
        <v>0.40624999999999917</v>
      </c>
      <c r="BF349" t="e">
        <f t="shared" ca="1" si="35"/>
        <v>#VALUE!</v>
      </c>
      <c r="BG349" t="e">
        <f t="shared" ca="1" si="36"/>
        <v>#VALUE!</v>
      </c>
    </row>
    <row r="350" spans="57:59" ht="12" customHeight="1" x14ac:dyDescent="0.2">
      <c r="BE350" s="19">
        <f t="shared" si="37"/>
        <v>0.40694444444444361</v>
      </c>
      <c r="BF350" t="e">
        <f t="shared" ca="1" si="35"/>
        <v>#VALUE!</v>
      </c>
      <c r="BG350" t="e">
        <f t="shared" ca="1" si="36"/>
        <v>#VALUE!</v>
      </c>
    </row>
    <row r="351" spans="57:59" ht="12" customHeight="1" x14ac:dyDescent="0.2">
      <c r="BE351" s="19">
        <f t="shared" si="37"/>
        <v>0.40763888888888805</v>
      </c>
      <c r="BF351" t="e">
        <f t="shared" ca="1" si="35"/>
        <v>#VALUE!</v>
      </c>
      <c r="BG351" t="e">
        <f t="shared" ca="1" si="36"/>
        <v>#VALUE!</v>
      </c>
    </row>
    <row r="352" spans="57:59" ht="12" customHeight="1" x14ac:dyDescent="0.2">
      <c r="BE352" s="19">
        <f t="shared" si="37"/>
        <v>0.40833333333333249</v>
      </c>
      <c r="BF352" t="e">
        <f t="shared" ca="1" si="35"/>
        <v>#VALUE!</v>
      </c>
      <c r="BG352" t="e">
        <f t="shared" ca="1" si="36"/>
        <v>#VALUE!</v>
      </c>
    </row>
    <row r="353" spans="57:59" ht="12" customHeight="1" x14ac:dyDescent="0.2">
      <c r="BE353" s="19">
        <f t="shared" si="37"/>
        <v>0.40902777777777694</v>
      </c>
      <c r="BF353" t="e">
        <f t="shared" ca="1" si="35"/>
        <v>#VALUE!</v>
      </c>
      <c r="BG353" t="e">
        <f t="shared" ca="1" si="36"/>
        <v>#VALUE!</v>
      </c>
    </row>
    <row r="354" spans="57:59" ht="12" customHeight="1" x14ac:dyDescent="0.2">
      <c r="BE354" s="19">
        <f t="shared" si="37"/>
        <v>0.40972222222222138</v>
      </c>
      <c r="BF354" t="e">
        <f t="shared" ca="1" si="35"/>
        <v>#VALUE!</v>
      </c>
      <c r="BG354" t="e">
        <f t="shared" ca="1" si="36"/>
        <v>#VALUE!</v>
      </c>
    </row>
    <row r="355" spans="57:59" ht="12" customHeight="1" x14ac:dyDescent="0.2">
      <c r="BE355" s="19">
        <f t="shared" si="37"/>
        <v>0.41041666666666582</v>
      </c>
      <c r="BF355" t="e">
        <f t="shared" ca="1" si="35"/>
        <v>#VALUE!</v>
      </c>
      <c r="BG355" t="e">
        <f t="shared" ca="1" si="36"/>
        <v>#VALUE!</v>
      </c>
    </row>
    <row r="356" spans="57:59" ht="12" customHeight="1" x14ac:dyDescent="0.2">
      <c r="BE356" s="19">
        <f t="shared" si="37"/>
        <v>0.41111111111111026</v>
      </c>
      <c r="BF356" t="e">
        <f t="shared" ca="1" si="35"/>
        <v>#VALUE!</v>
      </c>
      <c r="BG356" t="e">
        <f t="shared" ca="1" si="36"/>
        <v>#VALUE!</v>
      </c>
    </row>
    <row r="357" spans="57:59" ht="12" customHeight="1" x14ac:dyDescent="0.2">
      <c r="BE357" s="19">
        <f t="shared" si="37"/>
        <v>0.4118055555555547</v>
      </c>
      <c r="BF357" t="e">
        <f t="shared" ca="1" si="35"/>
        <v>#VALUE!</v>
      </c>
      <c r="BG357" t="e">
        <f t="shared" ca="1" si="36"/>
        <v>#VALUE!</v>
      </c>
    </row>
    <row r="358" spans="57:59" ht="12" customHeight="1" x14ac:dyDescent="0.2">
      <c r="BE358" s="19">
        <f t="shared" si="37"/>
        <v>0.41249999999999915</v>
      </c>
      <c r="BF358" t="e">
        <f t="shared" ca="1" si="35"/>
        <v>#VALUE!</v>
      </c>
      <c r="BG358" t="e">
        <f t="shared" ca="1" si="36"/>
        <v>#VALUE!</v>
      </c>
    </row>
    <row r="359" spans="57:59" ht="12" customHeight="1" x14ac:dyDescent="0.2">
      <c r="BE359" s="19">
        <f t="shared" si="37"/>
        <v>0.41319444444444359</v>
      </c>
      <c r="BF359" t="e">
        <f t="shared" ca="1" si="35"/>
        <v>#VALUE!</v>
      </c>
      <c r="BG359" t="e">
        <f t="shared" ca="1" si="36"/>
        <v>#VALUE!</v>
      </c>
    </row>
    <row r="360" spans="57:59" ht="12" customHeight="1" x14ac:dyDescent="0.2">
      <c r="BE360" s="19">
        <f t="shared" si="37"/>
        <v>0.41388888888888803</v>
      </c>
      <c r="BF360" t="e">
        <f t="shared" ca="1" si="35"/>
        <v>#VALUE!</v>
      </c>
      <c r="BG360" t="e">
        <f t="shared" ca="1" si="36"/>
        <v>#VALUE!</v>
      </c>
    </row>
    <row r="361" spans="57:59" ht="12" customHeight="1" x14ac:dyDescent="0.2">
      <c r="BE361" s="19">
        <f t="shared" si="37"/>
        <v>0.41458333333333247</v>
      </c>
      <c r="BF361" t="e">
        <f t="shared" ca="1" si="35"/>
        <v>#VALUE!</v>
      </c>
      <c r="BG361" t="e">
        <f t="shared" ca="1" si="36"/>
        <v>#VALUE!</v>
      </c>
    </row>
    <row r="362" spans="57:59" ht="12" customHeight="1" x14ac:dyDescent="0.2">
      <c r="BE362" s="19">
        <f t="shared" si="37"/>
        <v>0.41527777777777691</v>
      </c>
      <c r="BF362" t="e">
        <f t="shared" ca="1" si="35"/>
        <v>#VALUE!</v>
      </c>
      <c r="BG362" t="e">
        <f t="shared" ca="1" si="36"/>
        <v>#VALUE!</v>
      </c>
    </row>
    <row r="363" spans="57:59" ht="12" customHeight="1" x14ac:dyDescent="0.2">
      <c r="BE363" s="19">
        <f t="shared" si="37"/>
        <v>0.41597222222222136</v>
      </c>
      <c r="BF363" t="e">
        <f t="shared" ca="1" si="35"/>
        <v>#VALUE!</v>
      </c>
      <c r="BG363" t="e">
        <f t="shared" ca="1" si="36"/>
        <v>#VALUE!</v>
      </c>
    </row>
    <row r="364" spans="57:59" ht="12" customHeight="1" x14ac:dyDescent="0.2">
      <c r="BE364" s="19">
        <f t="shared" si="37"/>
        <v>0.4166666666666658</v>
      </c>
      <c r="BF364" t="e">
        <f t="shared" ca="1" si="35"/>
        <v>#VALUE!</v>
      </c>
      <c r="BG364" t="e">
        <f t="shared" ca="1" si="36"/>
        <v>#VALUE!</v>
      </c>
    </row>
    <row r="365" spans="57:59" ht="12" customHeight="1" x14ac:dyDescent="0.2">
      <c r="BE365" s="19">
        <f t="shared" si="37"/>
        <v>0.41736111111111024</v>
      </c>
      <c r="BF365" t="e">
        <f t="shared" ca="1" si="35"/>
        <v>#VALUE!</v>
      </c>
      <c r="BG365" t="e">
        <f t="shared" ca="1" si="36"/>
        <v>#VALUE!</v>
      </c>
    </row>
    <row r="366" spans="57:59" ht="12" customHeight="1" x14ac:dyDescent="0.2">
      <c r="BE366" s="19">
        <f t="shared" si="37"/>
        <v>0.41805555555555468</v>
      </c>
      <c r="BF366" t="e">
        <f t="shared" ca="1" si="35"/>
        <v>#VALUE!</v>
      </c>
      <c r="BG366" t="e">
        <f t="shared" ca="1" si="36"/>
        <v>#VALUE!</v>
      </c>
    </row>
    <row r="367" spans="57:59" ht="12" customHeight="1" x14ac:dyDescent="0.2">
      <c r="BE367" s="19">
        <f t="shared" si="37"/>
        <v>0.41874999999999912</v>
      </c>
      <c r="BF367" t="e">
        <f t="shared" ca="1" si="35"/>
        <v>#VALUE!</v>
      </c>
      <c r="BG367" t="e">
        <f t="shared" ca="1" si="36"/>
        <v>#VALUE!</v>
      </c>
    </row>
    <row r="368" spans="57:59" ht="12" customHeight="1" x14ac:dyDescent="0.2">
      <c r="BE368" s="19">
        <f t="shared" si="37"/>
        <v>0.41944444444444356</v>
      </c>
      <c r="BF368" t="e">
        <f t="shared" ca="1" si="35"/>
        <v>#VALUE!</v>
      </c>
      <c r="BG368" t="e">
        <f t="shared" ca="1" si="36"/>
        <v>#VALUE!</v>
      </c>
    </row>
    <row r="369" spans="57:59" ht="12" customHeight="1" x14ac:dyDescent="0.2">
      <c r="BE369" s="19">
        <f t="shared" si="37"/>
        <v>0.42013888888888801</v>
      </c>
      <c r="BF369" t="e">
        <f t="shared" ca="1" si="35"/>
        <v>#VALUE!</v>
      </c>
      <c r="BG369" t="e">
        <f t="shared" ca="1" si="36"/>
        <v>#VALUE!</v>
      </c>
    </row>
    <row r="370" spans="57:59" ht="12" customHeight="1" x14ac:dyDescent="0.2">
      <c r="BE370" s="19">
        <f t="shared" si="37"/>
        <v>0.42083333333333245</v>
      </c>
      <c r="BF370" t="e">
        <f t="shared" ca="1" si="35"/>
        <v>#VALUE!</v>
      </c>
      <c r="BG370" t="e">
        <f t="shared" ca="1" si="36"/>
        <v>#VALUE!</v>
      </c>
    </row>
    <row r="371" spans="57:59" ht="12" customHeight="1" x14ac:dyDescent="0.2">
      <c r="BE371" s="19">
        <f t="shared" si="37"/>
        <v>0.42152777777777689</v>
      </c>
      <c r="BF371" t="e">
        <f t="shared" ca="1" si="35"/>
        <v>#VALUE!</v>
      </c>
      <c r="BG371" t="e">
        <f t="shared" ca="1" si="36"/>
        <v>#VALUE!</v>
      </c>
    </row>
    <row r="372" spans="57:59" ht="12" customHeight="1" x14ac:dyDescent="0.2">
      <c r="BE372" s="19">
        <f t="shared" si="37"/>
        <v>0.42222222222222133</v>
      </c>
      <c r="BF372" t="e">
        <f t="shared" ca="1" si="35"/>
        <v>#VALUE!</v>
      </c>
      <c r="BG372" t="e">
        <f t="shared" ca="1" si="36"/>
        <v>#VALUE!</v>
      </c>
    </row>
    <row r="373" spans="57:59" ht="12" customHeight="1" x14ac:dyDescent="0.2">
      <c r="BE373" s="19">
        <f t="shared" si="37"/>
        <v>0.42291666666666577</v>
      </c>
      <c r="BF373" t="e">
        <f t="shared" ca="1" si="35"/>
        <v>#VALUE!</v>
      </c>
      <c r="BG373" t="e">
        <f t="shared" ca="1" si="36"/>
        <v>#VALUE!</v>
      </c>
    </row>
    <row r="374" spans="57:59" ht="12" customHeight="1" x14ac:dyDescent="0.2">
      <c r="BE374" s="19">
        <f t="shared" si="37"/>
        <v>0.42361111111111022</v>
      </c>
      <c r="BF374" t="e">
        <f t="shared" ca="1" si="35"/>
        <v>#VALUE!</v>
      </c>
      <c r="BG374" t="e">
        <f t="shared" ca="1" si="36"/>
        <v>#VALUE!</v>
      </c>
    </row>
    <row r="375" spans="57:59" ht="12" customHeight="1" x14ac:dyDescent="0.2">
      <c r="BE375" s="19">
        <f t="shared" si="37"/>
        <v>0.42430555555555466</v>
      </c>
      <c r="BF375" t="e">
        <f t="shared" ca="1" si="35"/>
        <v>#VALUE!</v>
      </c>
      <c r="BG375" t="e">
        <f t="shared" ca="1" si="36"/>
        <v>#VALUE!</v>
      </c>
    </row>
    <row r="376" spans="57:59" ht="12" customHeight="1" x14ac:dyDescent="0.2">
      <c r="BE376" s="19">
        <f t="shared" si="37"/>
        <v>0.4249999999999991</v>
      </c>
      <c r="BF376" t="e">
        <f t="shared" ca="1" si="35"/>
        <v>#VALUE!</v>
      </c>
      <c r="BG376" t="e">
        <f t="shared" ca="1" si="36"/>
        <v>#VALUE!</v>
      </c>
    </row>
    <row r="377" spans="57:59" ht="12" customHeight="1" x14ac:dyDescent="0.2">
      <c r="BE377" s="19">
        <f t="shared" si="37"/>
        <v>0.42569444444444354</v>
      </c>
      <c r="BF377" t="e">
        <f t="shared" ca="1" si="35"/>
        <v>#VALUE!</v>
      </c>
      <c r="BG377" t="e">
        <f t="shared" ca="1" si="36"/>
        <v>#VALUE!</v>
      </c>
    </row>
    <row r="378" spans="57:59" ht="12" customHeight="1" x14ac:dyDescent="0.2">
      <c r="BE378" s="19">
        <f t="shared" si="37"/>
        <v>0.42638888888888798</v>
      </c>
      <c r="BF378" t="e">
        <f t="shared" ca="1" si="35"/>
        <v>#VALUE!</v>
      </c>
      <c r="BG378" t="e">
        <f t="shared" ca="1" si="36"/>
        <v>#VALUE!</v>
      </c>
    </row>
    <row r="379" spans="57:59" ht="12" customHeight="1" x14ac:dyDescent="0.2">
      <c r="BE379" s="19">
        <f t="shared" si="37"/>
        <v>0.42708333333333243</v>
      </c>
      <c r="BF379" t="e">
        <f t="shared" ca="1" si="35"/>
        <v>#VALUE!</v>
      </c>
      <c r="BG379" t="e">
        <f t="shared" ca="1" si="36"/>
        <v>#VALUE!</v>
      </c>
    </row>
    <row r="380" spans="57:59" ht="12" customHeight="1" x14ac:dyDescent="0.2">
      <c r="BE380" s="19">
        <f t="shared" si="37"/>
        <v>0.42777777777777687</v>
      </c>
      <c r="BF380" t="e">
        <f t="shared" ca="1" si="35"/>
        <v>#VALUE!</v>
      </c>
      <c r="BG380" t="e">
        <f t="shared" ca="1" si="36"/>
        <v>#VALUE!</v>
      </c>
    </row>
    <row r="381" spans="57:59" ht="12" customHeight="1" x14ac:dyDescent="0.2">
      <c r="BE381" s="19">
        <f t="shared" si="37"/>
        <v>0.42847222222222131</v>
      </c>
      <c r="BF381" t="e">
        <f t="shared" ca="1" si="35"/>
        <v>#VALUE!</v>
      </c>
      <c r="BG381" t="e">
        <f t="shared" ca="1" si="36"/>
        <v>#VALUE!</v>
      </c>
    </row>
    <row r="382" spans="57:59" ht="12" customHeight="1" x14ac:dyDescent="0.2">
      <c r="BE382" s="19">
        <f t="shared" si="37"/>
        <v>0.42916666666666575</v>
      </c>
      <c r="BF382" t="e">
        <f t="shared" ca="1" si="35"/>
        <v>#VALUE!</v>
      </c>
      <c r="BG382" t="e">
        <f t="shared" ca="1" si="36"/>
        <v>#VALUE!</v>
      </c>
    </row>
    <row r="383" spans="57:59" ht="12" customHeight="1" x14ac:dyDescent="0.2">
      <c r="BE383" s="19">
        <f t="shared" si="37"/>
        <v>0.42986111111111019</v>
      </c>
      <c r="BF383" t="e">
        <f t="shared" ca="1" si="35"/>
        <v>#VALUE!</v>
      </c>
      <c r="BG383" t="e">
        <f t="shared" ca="1" si="36"/>
        <v>#VALUE!</v>
      </c>
    </row>
    <row r="384" spans="57:59" ht="12" customHeight="1" x14ac:dyDescent="0.2">
      <c r="BE384" s="19">
        <f t="shared" si="37"/>
        <v>0.43055555555555464</v>
      </c>
      <c r="BF384" t="e">
        <f t="shared" ca="1" si="35"/>
        <v>#VALUE!</v>
      </c>
      <c r="BG384" t="e">
        <f t="shared" ca="1" si="36"/>
        <v>#VALUE!</v>
      </c>
    </row>
    <row r="385" spans="57:59" ht="12" customHeight="1" x14ac:dyDescent="0.2">
      <c r="BE385" s="19">
        <f t="shared" si="37"/>
        <v>0.43124999999999908</v>
      </c>
      <c r="BF385" t="e">
        <f t="shared" ca="1" si="35"/>
        <v>#VALUE!</v>
      </c>
      <c r="BG385" t="e">
        <f t="shared" ca="1" si="36"/>
        <v>#VALUE!</v>
      </c>
    </row>
    <row r="386" spans="57:59" ht="12" customHeight="1" x14ac:dyDescent="0.2">
      <c r="BE386" s="19">
        <f t="shared" si="37"/>
        <v>0.43194444444444352</v>
      </c>
      <c r="BF386" t="e">
        <f t="shared" ca="1" si="35"/>
        <v>#VALUE!</v>
      </c>
      <c r="BG386" t="e">
        <f t="shared" ca="1" si="36"/>
        <v>#VALUE!</v>
      </c>
    </row>
    <row r="387" spans="57:59" ht="12" customHeight="1" x14ac:dyDescent="0.2">
      <c r="BE387" s="19">
        <f t="shared" si="37"/>
        <v>0.43263888888888796</v>
      </c>
      <c r="BF387" t="e">
        <f t="shared" ca="1" si="35"/>
        <v>#VALUE!</v>
      </c>
      <c r="BG387" t="e">
        <f t="shared" ca="1" si="36"/>
        <v>#VALUE!</v>
      </c>
    </row>
    <row r="388" spans="57:59" ht="12" customHeight="1" x14ac:dyDescent="0.2">
      <c r="BE388" s="19">
        <f t="shared" si="37"/>
        <v>0.4333333333333324</v>
      </c>
      <c r="BF388" t="e">
        <f t="shared" ref="BF388:BF451" ca="1" si="38">IF(BG388=0,AVERAGE(OFFSET(BH388,0,0,1,$A$1-1)),AVERAGE(BG388,OFFSET(BH388,0,0,1,$A$1-1)))</f>
        <v>#VALUE!</v>
      </c>
      <c r="BG388" t="e">
        <f t="shared" ca="1" si="36"/>
        <v>#VALUE!</v>
      </c>
    </row>
    <row r="389" spans="57:59" ht="12" customHeight="1" x14ac:dyDescent="0.2">
      <c r="BE389" s="19">
        <f t="shared" si="37"/>
        <v>0.43402777777777685</v>
      </c>
      <c r="BF389" t="e">
        <f t="shared" ca="1" si="38"/>
        <v>#VALUE!</v>
      </c>
      <c r="BG389" t="e">
        <f t="shared" ref="BG389:BG452" ca="1" si="39">IF(BE389&lt;$B$5-1/1440,0,OFFSET($AA$4,(BE389-$B$4)*1440,0,1,1))</f>
        <v>#VALUE!</v>
      </c>
    </row>
    <row r="390" spans="57:59" ht="12" customHeight="1" x14ac:dyDescent="0.2">
      <c r="BE390" s="19">
        <f t="shared" ref="BE390:BE453" si="40">BE389+1/1440</f>
        <v>0.43472222222222129</v>
      </c>
      <c r="BF390" t="e">
        <f t="shared" ca="1" si="38"/>
        <v>#VALUE!</v>
      </c>
      <c r="BG390" t="e">
        <f t="shared" ca="1" si="39"/>
        <v>#VALUE!</v>
      </c>
    </row>
    <row r="391" spans="57:59" ht="12" customHeight="1" x14ac:dyDescent="0.2">
      <c r="BE391" s="19">
        <f t="shared" si="40"/>
        <v>0.43541666666666573</v>
      </c>
      <c r="BF391" t="e">
        <f t="shared" ca="1" si="38"/>
        <v>#VALUE!</v>
      </c>
      <c r="BG391" t="e">
        <f t="shared" ca="1" si="39"/>
        <v>#VALUE!</v>
      </c>
    </row>
    <row r="392" spans="57:59" ht="12" customHeight="1" x14ac:dyDescent="0.2">
      <c r="BE392" s="19">
        <f t="shared" si="40"/>
        <v>0.43611111111111017</v>
      </c>
      <c r="BF392" t="e">
        <f t="shared" ca="1" si="38"/>
        <v>#VALUE!</v>
      </c>
      <c r="BG392" t="e">
        <f t="shared" ca="1" si="39"/>
        <v>#VALUE!</v>
      </c>
    </row>
    <row r="393" spans="57:59" ht="12" customHeight="1" x14ac:dyDescent="0.2">
      <c r="BE393" s="19">
        <f t="shared" si="40"/>
        <v>0.43680555555555461</v>
      </c>
      <c r="BF393" t="e">
        <f t="shared" ca="1" si="38"/>
        <v>#VALUE!</v>
      </c>
      <c r="BG393" t="e">
        <f t="shared" ca="1" si="39"/>
        <v>#VALUE!</v>
      </c>
    </row>
    <row r="394" spans="57:59" ht="12" customHeight="1" x14ac:dyDescent="0.2">
      <c r="BE394" s="19">
        <f t="shared" si="40"/>
        <v>0.43749999999999906</v>
      </c>
      <c r="BF394" t="e">
        <f t="shared" ca="1" si="38"/>
        <v>#VALUE!</v>
      </c>
      <c r="BG394" t="e">
        <f t="shared" ca="1" si="39"/>
        <v>#VALUE!</v>
      </c>
    </row>
    <row r="395" spans="57:59" ht="12" customHeight="1" x14ac:dyDescent="0.2">
      <c r="BE395" s="19">
        <f t="shared" si="40"/>
        <v>0.4381944444444435</v>
      </c>
      <c r="BF395" t="e">
        <f t="shared" ca="1" si="38"/>
        <v>#VALUE!</v>
      </c>
      <c r="BG395" t="e">
        <f t="shared" ca="1" si="39"/>
        <v>#VALUE!</v>
      </c>
    </row>
    <row r="396" spans="57:59" ht="12" customHeight="1" x14ac:dyDescent="0.2">
      <c r="BE396" s="19">
        <f t="shared" si="40"/>
        <v>0.43888888888888794</v>
      </c>
      <c r="BF396" t="e">
        <f t="shared" ca="1" si="38"/>
        <v>#VALUE!</v>
      </c>
      <c r="BG396" t="e">
        <f t="shared" ca="1" si="39"/>
        <v>#VALUE!</v>
      </c>
    </row>
    <row r="397" spans="57:59" ht="12" customHeight="1" x14ac:dyDescent="0.2">
      <c r="BE397" s="19">
        <f t="shared" si="40"/>
        <v>0.43958333333333238</v>
      </c>
      <c r="BF397" t="e">
        <f t="shared" ca="1" si="38"/>
        <v>#VALUE!</v>
      </c>
      <c r="BG397" t="e">
        <f t="shared" ca="1" si="39"/>
        <v>#VALUE!</v>
      </c>
    </row>
    <row r="398" spans="57:59" ht="12" customHeight="1" x14ac:dyDescent="0.2">
      <c r="BE398" s="19">
        <f t="shared" si="40"/>
        <v>0.44027777777777682</v>
      </c>
      <c r="BF398" t="e">
        <f t="shared" ca="1" si="38"/>
        <v>#VALUE!</v>
      </c>
      <c r="BG398" t="e">
        <f t="shared" ca="1" si="39"/>
        <v>#VALUE!</v>
      </c>
    </row>
    <row r="399" spans="57:59" ht="12" customHeight="1" x14ac:dyDescent="0.2">
      <c r="BE399" s="19">
        <f t="shared" si="40"/>
        <v>0.44097222222222127</v>
      </c>
      <c r="BF399" t="e">
        <f t="shared" ca="1" si="38"/>
        <v>#VALUE!</v>
      </c>
      <c r="BG399" t="e">
        <f t="shared" ca="1" si="39"/>
        <v>#VALUE!</v>
      </c>
    </row>
    <row r="400" spans="57:59" ht="12" customHeight="1" x14ac:dyDescent="0.2">
      <c r="BE400" s="19">
        <f t="shared" si="40"/>
        <v>0.44166666666666571</v>
      </c>
      <c r="BF400" t="e">
        <f t="shared" ca="1" si="38"/>
        <v>#VALUE!</v>
      </c>
      <c r="BG400" t="e">
        <f t="shared" ca="1" si="39"/>
        <v>#VALUE!</v>
      </c>
    </row>
    <row r="401" spans="57:59" ht="12" customHeight="1" x14ac:dyDescent="0.2">
      <c r="BE401" s="19">
        <f t="shared" si="40"/>
        <v>0.44236111111111015</v>
      </c>
      <c r="BF401" t="e">
        <f t="shared" ca="1" si="38"/>
        <v>#VALUE!</v>
      </c>
      <c r="BG401" t="e">
        <f t="shared" ca="1" si="39"/>
        <v>#VALUE!</v>
      </c>
    </row>
    <row r="402" spans="57:59" ht="12" customHeight="1" x14ac:dyDescent="0.2">
      <c r="BE402" s="19">
        <f t="shared" si="40"/>
        <v>0.44305555555555459</v>
      </c>
      <c r="BF402" t="e">
        <f t="shared" ca="1" si="38"/>
        <v>#VALUE!</v>
      </c>
      <c r="BG402" t="e">
        <f t="shared" ca="1" si="39"/>
        <v>#VALUE!</v>
      </c>
    </row>
    <row r="403" spans="57:59" ht="12" customHeight="1" x14ac:dyDescent="0.2">
      <c r="BE403" s="19">
        <f t="shared" si="40"/>
        <v>0.44374999999999903</v>
      </c>
      <c r="BF403" t="e">
        <f t="shared" ca="1" si="38"/>
        <v>#VALUE!</v>
      </c>
      <c r="BG403" t="e">
        <f t="shared" ca="1" si="39"/>
        <v>#VALUE!</v>
      </c>
    </row>
    <row r="404" spans="57:59" ht="12" customHeight="1" x14ac:dyDescent="0.2">
      <c r="BE404" s="19">
        <f t="shared" si="40"/>
        <v>0.44444444444444348</v>
      </c>
      <c r="BF404" t="e">
        <f t="shared" ca="1" si="38"/>
        <v>#VALUE!</v>
      </c>
      <c r="BG404" t="e">
        <f t="shared" ca="1" si="39"/>
        <v>#VALUE!</v>
      </c>
    </row>
    <row r="405" spans="57:59" ht="12" customHeight="1" x14ac:dyDescent="0.2">
      <c r="BE405" s="19">
        <f t="shared" si="40"/>
        <v>0.44513888888888792</v>
      </c>
      <c r="BF405" t="e">
        <f t="shared" ca="1" si="38"/>
        <v>#VALUE!</v>
      </c>
      <c r="BG405" t="e">
        <f t="shared" ca="1" si="39"/>
        <v>#VALUE!</v>
      </c>
    </row>
    <row r="406" spans="57:59" ht="12" customHeight="1" x14ac:dyDescent="0.2">
      <c r="BE406" s="19">
        <f t="shared" si="40"/>
        <v>0.44583333333333236</v>
      </c>
      <c r="BF406" t="e">
        <f t="shared" ca="1" si="38"/>
        <v>#VALUE!</v>
      </c>
      <c r="BG406" t="e">
        <f t="shared" ca="1" si="39"/>
        <v>#VALUE!</v>
      </c>
    </row>
    <row r="407" spans="57:59" ht="12" customHeight="1" x14ac:dyDescent="0.2">
      <c r="BE407" s="19">
        <f t="shared" si="40"/>
        <v>0.4465277777777768</v>
      </c>
      <c r="BF407" t="e">
        <f t="shared" ca="1" si="38"/>
        <v>#VALUE!</v>
      </c>
      <c r="BG407" t="e">
        <f t="shared" ca="1" si="39"/>
        <v>#VALUE!</v>
      </c>
    </row>
    <row r="408" spans="57:59" ht="12" customHeight="1" x14ac:dyDescent="0.2">
      <c r="BE408" s="19">
        <f t="shared" si="40"/>
        <v>0.44722222222222124</v>
      </c>
      <c r="BF408" t="e">
        <f t="shared" ca="1" si="38"/>
        <v>#VALUE!</v>
      </c>
      <c r="BG408" t="e">
        <f t="shared" ca="1" si="39"/>
        <v>#VALUE!</v>
      </c>
    </row>
    <row r="409" spans="57:59" ht="12" customHeight="1" x14ac:dyDescent="0.2">
      <c r="BE409" s="19">
        <f t="shared" si="40"/>
        <v>0.44791666666666569</v>
      </c>
      <c r="BF409" t="e">
        <f t="shared" ca="1" si="38"/>
        <v>#VALUE!</v>
      </c>
      <c r="BG409" t="e">
        <f t="shared" ca="1" si="39"/>
        <v>#VALUE!</v>
      </c>
    </row>
    <row r="410" spans="57:59" ht="12" customHeight="1" x14ac:dyDescent="0.2">
      <c r="BE410" s="19">
        <f t="shared" si="40"/>
        <v>0.44861111111111013</v>
      </c>
      <c r="BF410" t="e">
        <f t="shared" ca="1" si="38"/>
        <v>#VALUE!</v>
      </c>
      <c r="BG410" t="e">
        <f t="shared" ca="1" si="39"/>
        <v>#VALUE!</v>
      </c>
    </row>
    <row r="411" spans="57:59" ht="12" customHeight="1" x14ac:dyDescent="0.2">
      <c r="BE411" s="19">
        <f t="shared" si="40"/>
        <v>0.44930555555555457</v>
      </c>
      <c r="BF411" t="e">
        <f t="shared" ca="1" si="38"/>
        <v>#VALUE!</v>
      </c>
      <c r="BG411" t="e">
        <f t="shared" ca="1" si="39"/>
        <v>#VALUE!</v>
      </c>
    </row>
    <row r="412" spans="57:59" ht="12" customHeight="1" x14ac:dyDescent="0.2">
      <c r="BE412" s="19">
        <f t="shared" si="40"/>
        <v>0.44999999999999901</v>
      </c>
      <c r="BF412" t="e">
        <f t="shared" ca="1" si="38"/>
        <v>#VALUE!</v>
      </c>
      <c r="BG412" t="e">
        <f t="shared" ca="1" si="39"/>
        <v>#VALUE!</v>
      </c>
    </row>
    <row r="413" spans="57:59" ht="12" customHeight="1" x14ac:dyDescent="0.2">
      <c r="BE413" s="19">
        <f t="shared" si="40"/>
        <v>0.45069444444444345</v>
      </c>
      <c r="BF413" t="e">
        <f t="shared" ca="1" si="38"/>
        <v>#VALUE!</v>
      </c>
      <c r="BG413" t="e">
        <f t="shared" ca="1" si="39"/>
        <v>#VALUE!</v>
      </c>
    </row>
    <row r="414" spans="57:59" ht="12" customHeight="1" x14ac:dyDescent="0.2">
      <c r="BE414" s="19">
        <f t="shared" si="40"/>
        <v>0.4513888888888879</v>
      </c>
      <c r="BF414" t="e">
        <f t="shared" ca="1" si="38"/>
        <v>#VALUE!</v>
      </c>
      <c r="BG414" t="e">
        <f t="shared" ca="1" si="39"/>
        <v>#VALUE!</v>
      </c>
    </row>
    <row r="415" spans="57:59" ht="12" customHeight="1" x14ac:dyDescent="0.2">
      <c r="BE415" s="19">
        <f t="shared" si="40"/>
        <v>0.45208333333333234</v>
      </c>
      <c r="BF415" t="e">
        <f t="shared" ca="1" si="38"/>
        <v>#VALUE!</v>
      </c>
      <c r="BG415" t="e">
        <f t="shared" ca="1" si="39"/>
        <v>#VALUE!</v>
      </c>
    </row>
    <row r="416" spans="57:59" ht="12" customHeight="1" x14ac:dyDescent="0.2">
      <c r="BE416" s="19">
        <f t="shared" si="40"/>
        <v>0.45277777777777678</v>
      </c>
      <c r="BF416" t="e">
        <f t="shared" ca="1" si="38"/>
        <v>#VALUE!</v>
      </c>
      <c r="BG416" t="e">
        <f t="shared" ca="1" si="39"/>
        <v>#VALUE!</v>
      </c>
    </row>
    <row r="417" spans="57:59" ht="12" customHeight="1" x14ac:dyDescent="0.2">
      <c r="BE417" s="19">
        <f t="shared" si="40"/>
        <v>0.45347222222222122</v>
      </c>
      <c r="BF417" t="e">
        <f t="shared" ca="1" si="38"/>
        <v>#VALUE!</v>
      </c>
      <c r="BG417" t="e">
        <f t="shared" ca="1" si="39"/>
        <v>#VALUE!</v>
      </c>
    </row>
    <row r="418" spans="57:59" ht="12" customHeight="1" x14ac:dyDescent="0.2">
      <c r="BE418" s="19">
        <f t="shared" si="40"/>
        <v>0.45416666666666566</v>
      </c>
      <c r="BF418" t="e">
        <f t="shared" ca="1" si="38"/>
        <v>#VALUE!</v>
      </c>
      <c r="BG418" t="e">
        <f t="shared" ca="1" si="39"/>
        <v>#VALUE!</v>
      </c>
    </row>
    <row r="419" spans="57:59" ht="12" customHeight="1" x14ac:dyDescent="0.2">
      <c r="BE419" s="19">
        <f t="shared" si="40"/>
        <v>0.45486111111111011</v>
      </c>
      <c r="BF419" t="e">
        <f t="shared" ca="1" si="38"/>
        <v>#VALUE!</v>
      </c>
      <c r="BG419" t="e">
        <f t="shared" ca="1" si="39"/>
        <v>#VALUE!</v>
      </c>
    </row>
    <row r="420" spans="57:59" ht="12" customHeight="1" x14ac:dyDescent="0.2">
      <c r="BE420" s="19">
        <f t="shared" si="40"/>
        <v>0.45555555555555455</v>
      </c>
      <c r="BF420" t="e">
        <f t="shared" ca="1" si="38"/>
        <v>#VALUE!</v>
      </c>
      <c r="BG420" t="e">
        <f t="shared" ca="1" si="39"/>
        <v>#VALUE!</v>
      </c>
    </row>
    <row r="421" spans="57:59" ht="12" customHeight="1" x14ac:dyDescent="0.2">
      <c r="BE421" s="19">
        <f t="shared" si="40"/>
        <v>0.45624999999999899</v>
      </c>
      <c r="BF421" t="e">
        <f t="shared" ca="1" si="38"/>
        <v>#VALUE!</v>
      </c>
      <c r="BG421" t="e">
        <f t="shared" ca="1" si="39"/>
        <v>#VALUE!</v>
      </c>
    </row>
    <row r="422" spans="57:59" ht="12" customHeight="1" x14ac:dyDescent="0.2">
      <c r="BE422" s="19">
        <f t="shared" si="40"/>
        <v>0.45694444444444343</v>
      </c>
      <c r="BF422" t="e">
        <f t="shared" ca="1" si="38"/>
        <v>#VALUE!</v>
      </c>
      <c r="BG422" t="e">
        <f t="shared" ca="1" si="39"/>
        <v>#VALUE!</v>
      </c>
    </row>
    <row r="423" spans="57:59" ht="12" customHeight="1" x14ac:dyDescent="0.2">
      <c r="BE423" s="19">
        <f t="shared" si="40"/>
        <v>0.45763888888888787</v>
      </c>
      <c r="BF423" t="e">
        <f t="shared" ca="1" si="38"/>
        <v>#VALUE!</v>
      </c>
      <c r="BG423" t="e">
        <f t="shared" ca="1" si="39"/>
        <v>#VALUE!</v>
      </c>
    </row>
    <row r="424" spans="57:59" ht="12" customHeight="1" x14ac:dyDescent="0.2">
      <c r="BE424" s="19">
        <f t="shared" si="40"/>
        <v>0.45833333333333232</v>
      </c>
      <c r="BF424" t="e">
        <f t="shared" ca="1" si="38"/>
        <v>#VALUE!</v>
      </c>
      <c r="BG424" t="e">
        <f t="shared" ca="1" si="39"/>
        <v>#VALUE!</v>
      </c>
    </row>
    <row r="425" spans="57:59" ht="12" customHeight="1" x14ac:dyDescent="0.2">
      <c r="BE425" s="19">
        <f t="shared" si="40"/>
        <v>0.45902777777777676</v>
      </c>
      <c r="BF425" t="e">
        <f t="shared" ca="1" si="38"/>
        <v>#VALUE!</v>
      </c>
      <c r="BG425" t="e">
        <f t="shared" ca="1" si="39"/>
        <v>#VALUE!</v>
      </c>
    </row>
    <row r="426" spans="57:59" ht="12" customHeight="1" x14ac:dyDescent="0.2">
      <c r="BE426" s="19">
        <f t="shared" si="40"/>
        <v>0.4597222222222212</v>
      </c>
      <c r="BF426" t="e">
        <f t="shared" ca="1" si="38"/>
        <v>#VALUE!</v>
      </c>
      <c r="BG426" t="e">
        <f t="shared" ca="1" si="39"/>
        <v>#VALUE!</v>
      </c>
    </row>
    <row r="427" spans="57:59" ht="12" customHeight="1" x14ac:dyDescent="0.2">
      <c r="BE427" s="19">
        <f t="shared" si="40"/>
        <v>0.46041666666666564</v>
      </c>
      <c r="BF427" t="e">
        <f t="shared" ca="1" si="38"/>
        <v>#VALUE!</v>
      </c>
      <c r="BG427" t="e">
        <f t="shared" ca="1" si="39"/>
        <v>#VALUE!</v>
      </c>
    </row>
    <row r="428" spans="57:59" ht="12" customHeight="1" x14ac:dyDescent="0.2">
      <c r="BE428" s="19">
        <f t="shared" si="40"/>
        <v>0.46111111111111008</v>
      </c>
      <c r="BF428" t="e">
        <f t="shared" ca="1" si="38"/>
        <v>#VALUE!</v>
      </c>
      <c r="BG428" t="e">
        <f t="shared" ca="1" si="39"/>
        <v>#VALUE!</v>
      </c>
    </row>
    <row r="429" spans="57:59" ht="12" customHeight="1" x14ac:dyDescent="0.2">
      <c r="BE429" s="19">
        <f t="shared" si="40"/>
        <v>0.46180555555555453</v>
      </c>
      <c r="BF429" t="e">
        <f t="shared" ca="1" si="38"/>
        <v>#VALUE!</v>
      </c>
      <c r="BG429" t="e">
        <f t="shared" ca="1" si="39"/>
        <v>#VALUE!</v>
      </c>
    </row>
    <row r="430" spans="57:59" ht="12" customHeight="1" x14ac:dyDescent="0.2">
      <c r="BE430" s="19">
        <f t="shared" si="40"/>
        <v>0.46249999999999897</v>
      </c>
      <c r="BF430" t="e">
        <f t="shared" ca="1" si="38"/>
        <v>#VALUE!</v>
      </c>
      <c r="BG430" t="e">
        <f t="shared" ca="1" si="39"/>
        <v>#VALUE!</v>
      </c>
    </row>
    <row r="431" spans="57:59" ht="12" customHeight="1" x14ac:dyDescent="0.2">
      <c r="BE431" s="19">
        <f t="shared" si="40"/>
        <v>0.46319444444444341</v>
      </c>
      <c r="BF431" t="e">
        <f t="shared" ca="1" si="38"/>
        <v>#VALUE!</v>
      </c>
      <c r="BG431" t="e">
        <f t="shared" ca="1" si="39"/>
        <v>#VALUE!</v>
      </c>
    </row>
    <row r="432" spans="57:59" ht="12" customHeight="1" x14ac:dyDescent="0.2">
      <c r="BE432" s="19">
        <f t="shared" si="40"/>
        <v>0.46388888888888785</v>
      </c>
      <c r="BF432" t="e">
        <f t="shared" ca="1" si="38"/>
        <v>#VALUE!</v>
      </c>
      <c r="BG432" t="e">
        <f t="shared" ca="1" si="39"/>
        <v>#VALUE!</v>
      </c>
    </row>
    <row r="433" spans="57:59" ht="12" customHeight="1" x14ac:dyDescent="0.2">
      <c r="BE433" s="19">
        <f t="shared" si="40"/>
        <v>0.46458333333333229</v>
      </c>
      <c r="BF433" t="e">
        <f t="shared" ca="1" si="38"/>
        <v>#VALUE!</v>
      </c>
      <c r="BG433" t="e">
        <f t="shared" ca="1" si="39"/>
        <v>#VALUE!</v>
      </c>
    </row>
    <row r="434" spans="57:59" ht="12" customHeight="1" x14ac:dyDescent="0.2">
      <c r="BE434" s="19">
        <f t="shared" si="40"/>
        <v>0.46527777777777674</v>
      </c>
      <c r="BF434" t="e">
        <f t="shared" ca="1" si="38"/>
        <v>#VALUE!</v>
      </c>
      <c r="BG434" t="e">
        <f t="shared" ca="1" si="39"/>
        <v>#VALUE!</v>
      </c>
    </row>
    <row r="435" spans="57:59" ht="12" customHeight="1" x14ac:dyDescent="0.2">
      <c r="BE435" s="19">
        <f t="shared" si="40"/>
        <v>0.46597222222222118</v>
      </c>
      <c r="BF435" t="e">
        <f t="shared" ca="1" si="38"/>
        <v>#VALUE!</v>
      </c>
      <c r="BG435" t="e">
        <f t="shared" ca="1" si="39"/>
        <v>#VALUE!</v>
      </c>
    </row>
    <row r="436" spans="57:59" ht="12" customHeight="1" x14ac:dyDescent="0.2">
      <c r="BE436" s="19">
        <f t="shared" si="40"/>
        <v>0.46666666666666562</v>
      </c>
      <c r="BF436" t="e">
        <f t="shared" ca="1" si="38"/>
        <v>#VALUE!</v>
      </c>
      <c r="BG436" t="e">
        <f t="shared" ca="1" si="39"/>
        <v>#VALUE!</v>
      </c>
    </row>
    <row r="437" spans="57:59" ht="12" customHeight="1" x14ac:dyDescent="0.2">
      <c r="BE437" s="19">
        <f t="shared" si="40"/>
        <v>0.46736111111111006</v>
      </c>
      <c r="BF437" t="e">
        <f t="shared" ca="1" si="38"/>
        <v>#VALUE!</v>
      </c>
      <c r="BG437" t="e">
        <f t="shared" ca="1" si="39"/>
        <v>#VALUE!</v>
      </c>
    </row>
    <row r="438" spans="57:59" ht="12" customHeight="1" x14ac:dyDescent="0.2">
      <c r="BE438" s="19">
        <f t="shared" si="40"/>
        <v>0.4680555555555545</v>
      </c>
      <c r="BF438" t="e">
        <f t="shared" ca="1" si="38"/>
        <v>#VALUE!</v>
      </c>
      <c r="BG438" t="e">
        <f t="shared" ca="1" si="39"/>
        <v>#VALUE!</v>
      </c>
    </row>
    <row r="439" spans="57:59" ht="12" customHeight="1" x14ac:dyDescent="0.2">
      <c r="BE439" s="19">
        <f t="shared" si="40"/>
        <v>0.46874999999999895</v>
      </c>
      <c r="BF439" t="e">
        <f t="shared" ca="1" si="38"/>
        <v>#VALUE!</v>
      </c>
      <c r="BG439" t="e">
        <f t="shared" ca="1" si="39"/>
        <v>#VALUE!</v>
      </c>
    </row>
    <row r="440" spans="57:59" ht="12" customHeight="1" x14ac:dyDescent="0.2">
      <c r="BE440" s="19">
        <f t="shared" si="40"/>
        <v>0.46944444444444339</v>
      </c>
      <c r="BF440" t="e">
        <f t="shared" ca="1" si="38"/>
        <v>#VALUE!</v>
      </c>
      <c r="BG440" t="e">
        <f t="shared" ca="1" si="39"/>
        <v>#VALUE!</v>
      </c>
    </row>
    <row r="441" spans="57:59" ht="12" customHeight="1" x14ac:dyDescent="0.2">
      <c r="BE441" s="19">
        <f t="shared" si="40"/>
        <v>0.47013888888888783</v>
      </c>
      <c r="BF441" t="e">
        <f t="shared" ca="1" si="38"/>
        <v>#VALUE!</v>
      </c>
      <c r="BG441" t="e">
        <f t="shared" ca="1" si="39"/>
        <v>#VALUE!</v>
      </c>
    </row>
    <row r="442" spans="57:59" ht="12" customHeight="1" x14ac:dyDescent="0.2">
      <c r="BE442" s="19">
        <f t="shared" si="40"/>
        <v>0.47083333333333227</v>
      </c>
      <c r="BF442" t="e">
        <f t="shared" ca="1" si="38"/>
        <v>#VALUE!</v>
      </c>
      <c r="BG442" t="e">
        <f t="shared" ca="1" si="39"/>
        <v>#VALUE!</v>
      </c>
    </row>
    <row r="443" spans="57:59" ht="12" customHeight="1" x14ac:dyDescent="0.2">
      <c r="BE443" s="19">
        <f t="shared" si="40"/>
        <v>0.47152777777777671</v>
      </c>
      <c r="BF443" t="e">
        <f t="shared" ca="1" si="38"/>
        <v>#VALUE!</v>
      </c>
      <c r="BG443" t="e">
        <f t="shared" ca="1" si="39"/>
        <v>#VALUE!</v>
      </c>
    </row>
    <row r="444" spans="57:59" ht="12" customHeight="1" x14ac:dyDescent="0.2">
      <c r="BE444" s="19">
        <f t="shared" si="40"/>
        <v>0.47222222222222116</v>
      </c>
      <c r="BF444" t="e">
        <f t="shared" ca="1" si="38"/>
        <v>#VALUE!</v>
      </c>
      <c r="BG444" t="e">
        <f t="shared" ca="1" si="39"/>
        <v>#VALUE!</v>
      </c>
    </row>
    <row r="445" spans="57:59" ht="12" customHeight="1" x14ac:dyDescent="0.2">
      <c r="BE445" s="19">
        <f t="shared" si="40"/>
        <v>0.4729166666666656</v>
      </c>
      <c r="BF445" t="e">
        <f t="shared" ca="1" si="38"/>
        <v>#VALUE!</v>
      </c>
      <c r="BG445" t="e">
        <f t="shared" ca="1" si="39"/>
        <v>#VALUE!</v>
      </c>
    </row>
    <row r="446" spans="57:59" ht="12" customHeight="1" x14ac:dyDescent="0.2">
      <c r="BE446" s="19">
        <f t="shared" si="40"/>
        <v>0.47361111111111004</v>
      </c>
      <c r="BF446" t="e">
        <f t="shared" ca="1" si="38"/>
        <v>#VALUE!</v>
      </c>
      <c r="BG446" t="e">
        <f t="shared" ca="1" si="39"/>
        <v>#VALUE!</v>
      </c>
    </row>
    <row r="447" spans="57:59" ht="12" customHeight="1" x14ac:dyDescent="0.2">
      <c r="BE447" s="19">
        <f t="shared" si="40"/>
        <v>0.47430555555555448</v>
      </c>
      <c r="BF447" t="e">
        <f t="shared" ca="1" si="38"/>
        <v>#VALUE!</v>
      </c>
      <c r="BG447" t="e">
        <f t="shared" ca="1" si="39"/>
        <v>#VALUE!</v>
      </c>
    </row>
    <row r="448" spans="57:59" ht="12" customHeight="1" x14ac:dyDescent="0.2">
      <c r="BE448" s="19">
        <f t="shared" si="40"/>
        <v>0.47499999999999892</v>
      </c>
      <c r="BF448" t="e">
        <f t="shared" ca="1" si="38"/>
        <v>#VALUE!</v>
      </c>
      <c r="BG448" t="e">
        <f t="shared" ca="1" si="39"/>
        <v>#VALUE!</v>
      </c>
    </row>
    <row r="449" spans="57:59" ht="12" customHeight="1" x14ac:dyDescent="0.2">
      <c r="BE449" s="19">
        <f t="shared" si="40"/>
        <v>0.47569444444444337</v>
      </c>
      <c r="BF449" t="e">
        <f t="shared" ca="1" si="38"/>
        <v>#VALUE!</v>
      </c>
      <c r="BG449" t="e">
        <f t="shared" ca="1" si="39"/>
        <v>#VALUE!</v>
      </c>
    </row>
    <row r="450" spans="57:59" ht="12" customHeight="1" x14ac:dyDescent="0.2">
      <c r="BE450" s="19">
        <f t="shared" si="40"/>
        <v>0.47638888888888781</v>
      </c>
      <c r="BF450" t="e">
        <f t="shared" ca="1" si="38"/>
        <v>#VALUE!</v>
      </c>
      <c r="BG450" t="e">
        <f t="shared" ca="1" si="39"/>
        <v>#VALUE!</v>
      </c>
    </row>
    <row r="451" spans="57:59" ht="12" customHeight="1" x14ac:dyDescent="0.2">
      <c r="BE451" s="19">
        <f t="shared" si="40"/>
        <v>0.47708333333333225</v>
      </c>
      <c r="BF451" t="e">
        <f t="shared" ca="1" si="38"/>
        <v>#VALUE!</v>
      </c>
      <c r="BG451" t="e">
        <f t="shared" ca="1" si="39"/>
        <v>#VALUE!</v>
      </c>
    </row>
    <row r="452" spans="57:59" ht="12" customHeight="1" x14ac:dyDescent="0.2">
      <c r="BE452" s="19">
        <f t="shared" si="40"/>
        <v>0.47777777777777669</v>
      </c>
      <c r="BF452" t="e">
        <f t="shared" ref="BF452:BF515" ca="1" si="41">IF(BG452=0,AVERAGE(OFFSET(BH452,0,0,1,$A$1-1)),AVERAGE(BG452,OFFSET(BH452,0,0,1,$A$1-1)))</f>
        <v>#VALUE!</v>
      </c>
      <c r="BG452" t="e">
        <f t="shared" ca="1" si="39"/>
        <v>#VALUE!</v>
      </c>
    </row>
    <row r="453" spans="57:59" ht="12" customHeight="1" x14ac:dyDescent="0.2">
      <c r="BE453" s="19">
        <f t="shared" si="40"/>
        <v>0.47847222222222113</v>
      </c>
      <c r="BF453" t="e">
        <f t="shared" ca="1" si="41"/>
        <v>#VALUE!</v>
      </c>
      <c r="BG453" t="e">
        <f t="shared" ref="BG453:BG516" ca="1" si="42">IF(BE453&lt;$B$5-1/1440,0,OFFSET($AA$4,(BE453-$B$4)*1440,0,1,1))</f>
        <v>#VALUE!</v>
      </c>
    </row>
    <row r="454" spans="57:59" ht="12" customHeight="1" x14ac:dyDescent="0.2">
      <c r="BE454" s="19">
        <f t="shared" ref="BE454:BE517" si="43">BE453+1/1440</f>
        <v>0.47916666666666557</v>
      </c>
      <c r="BF454" t="e">
        <f t="shared" ca="1" si="41"/>
        <v>#VALUE!</v>
      </c>
      <c r="BG454" t="e">
        <f t="shared" ca="1" si="42"/>
        <v>#VALUE!</v>
      </c>
    </row>
    <row r="455" spans="57:59" ht="12" customHeight="1" x14ac:dyDescent="0.2">
      <c r="BE455" s="19">
        <f t="shared" si="43"/>
        <v>0.47986111111111002</v>
      </c>
      <c r="BF455" t="e">
        <f t="shared" ca="1" si="41"/>
        <v>#VALUE!</v>
      </c>
      <c r="BG455" t="e">
        <f t="shared" ca="1" si="42"/>
        <v>#VALUE!</v>
      </c>
    </row>
    <row r="456" spans="57:59" ht="12" customHeight="1" x14ac:dyDescent="0.2">
      <c r="BE456" s="19">
        <f t="shared" si="43"/>
        <v>0.48055555555555446</v>
      </c>
      <c r="BF456" t="e">
        <f t="shared" ca="1" si="41"/>
        <v>#VALUE!</v>
      </c>
      <c r="BG456" t="e">
        <f t="shared" ca="1" si="42"/>
        <v>#VALUE!</v>
      </c>
    </row>
    <row r="457" spans="57:59" ht="12" customHeight="1" x14ac:dyDescent="0.2">
      <c r="BE457" s="19">
        <f t="shared" si="43"/>
        <v>0.4812499999999989</v>
      </c>
      <c r="BF457" t="e">
        <f t="shared" ca="1" si="41"/>
        <v>#VALUE!</v>
      </c>
      <c r="BG457" t="e">
        <f t="shared" ca="1" si="42"/>
        <v>#VALUE!</v>
      </c>
    </row>
    <row r="458" spans="57:59" ht="12" customHeight="1" x14ac:dyDescent="0.2">
      <c r="BE458" s="19">
        <f t="shared" si="43"/>
        <v>0.48194444444444334</v>
      </c>
      <c r="BF458" t="e">
        <f t="shared" ca="1" si="41"/>
        <v>#VALUE!</v>
      </c>
      <c r="BG458" t="e">
        <f t="shared" ca="1" si="42"/>
        <v>#VALUE!</v>
      </c>
    </row>
    <row r="459" spans="57:59" ht="12" customHeight="1" x14ac:dyDescent="0.2">
      <c r="BE459" s="19">
        <f t="shared" si="43"/>
        <v>0.48263888888888778</v>
      </c>
      <c r="BF459" t="e">
        <f t="shared" ca="1" si="41"/>
        <v>#VALUE!</v>
      </c>
      <c r="BG459" t="e">
        <f t="shared" ca="1" si="42"/>
        <v>#VALUE!</v>
      </c>
    </row>
    <row r="460" spans="57:59" ht="12" customHeight="1" x14ac:dyDescent="0.2">
      <c r="BE460" s="19">
        <f t="shared" si="43"/>
        <v>0.48333333333333223</v>
      </c>
      <c r="BF460" t="e">
        <f t="shared" ca="1" si="41"/>
        <v>#VALUE!</v>
      </c>
      <c r="BG460" t="e">
        <f t="shared" ca="1" si="42"/>
        <v>#VALUE!</v>
      </c>
    </row>
    <row r="461" spans="57:59" ht="12" customHeight="1" x14ac:dyDescent="0.2">
      <c r="BE461" s="19">
        <f t="shared" si="43"/>
        <v>0.48402777777777667</v>
      </c>
      <c r="BF461" t="e">
        <f t="shared" ca="1" si="41"/>
        <v>#VALUE!</v>
      </c>
      <c r="BG461" t="e">
        <f t="shared" ca="1" si="42"/>
        <v>#VALUE!</v>
      </c>
    </row>
    <row r="462" spans="57:59" ht="12" customHeight="1" x14ac:dyDescent="0.2">
      <c r="BE462" s="19">
        <f t="shared" si="43"/>
        <v>0.48472222222222111</v>
      </c>
      <c r="BF462" t="e">
        <f t="shared" ca="1" si="41"/>
        <v>#VALUE!</v>
      </c>
      <c r="BG462" t="e">
        <f t="shared" ca="1" si="42"/>
        <v>#VALUE!</v>
      </c>
    </row>
    <row r="463" spans="57:59" ht="12" customHeight="1" x14ac:dyDescent="0.2">
      <c r="BE463" s="19">
        <f t="shared" si="43"/>
        <v>0.48541666666666555</v>
      </c>
      <c r="BF463" t="e">
        <f t="shared" ca="1" si="41"/>
        <v>#VALUE!</v>
      </c>
      <c r="BG463" t="e">
        <f t="shared" ca="1" si="42"/>
        <v>#VALUE!</v>
      </c>
    </row>
    <row r="464" spans="57:59" ht="12" customHeight="1" x14ac:dyDescent="0.2">
      <c r="BE464" s="19">
        <f t="shared" si="43"/>
        <v>0.48611111111110999</v>
      </c>
      <c r="BF464" t="e">
        <f t="shared" ca="1" si="41"/>
        <v>#VALUE!</v>
      </c>
      <c r="BG464" t="e">
        <f t="shared" ca="1" si="42"/>
        <v>#VALUE!</v>
      </c>
    </row>
    <row r="465" spans="57:59" ht="12" customHeight="1" x14ac:dyDescent="0.2">
      <c r="BE465" s="19">
        <f t="shared" si="43"/>
        <v>0.48680555555555444</v>
      </c>
      <c r="BF465" t="e">
        <f t="shared" ca="1" si="41"/>
        <v>#VALUE!</v>
      </c>
      <c r="BG465" t="e">
        <f t="shared" ca="1" si="42"/>
        <v>#VALUE!</v>
      </c>
    </row>
    <row r="466" spans="57:59" ht="12" customHeight="1" x14ac:dyDescent="0.2">
      <c r="BE466" s="19">
        <f t="shared" si="43"/>
        <v>0.48749999999999888</v>
      </c>
      <c r="BF466" t="e">
        <f t="shared" ca="1" si="41"/>
        <v>#VALUE!</v>
      </c>
      <c r="BG466" t="e">
        <f t="shared" ca="1" si="42"/>
        <v>#VALUE!</v>
      </c>
    </row>
    <row r="467" spans="57:59" ht="12" customHeight="1" x14ac:dyDescent="0.2">
      <c r="BE467" s="19">
        <f t="shared" si="43"/>
        <v>0.48819444444444332</v>
      </c>
      <c r="BF467" t="e">
        <f t="shared" ca="1" si="41"/>
        <v>#VALUE!</v>
      </c>
      <c r="BG467" t="e">
        <f t="shared" ca="1" si="42"/>
        <v>#VALUE!</v>
      </c>
    </row>
    <row r="468" spans="57:59" ht="12" customHeight="1" x14ac:dyDescent="0.2">
      <c r="BE468" s="19">
        <f t="shared" si="43"/>
        <v>0.48888888888888776</v>
      </c>
      <c r="BF468" t="e">
        <f t="shared" ca="1" si="41"/>
        <v>#VALUE!</v>
      </c>
      <c r="BG468" t="e">
        <f t="shared" ca="1" si="42"/>
        <v>#VALUE!</v>
      </c>
    </row>
    <row r="469" spans="57:59" ht="12" customHeight="1" x14ac:dyDescent="0.2">
      <c r="BE469" s="19">
        <f t="shared" si="43"/>
        <v>0.4895833333333322</v>
      </c>
      <c r="BF469" t="e">
        <f t="shared" ca="1" si="41"/>
        <v>#VALUE!</v>
      </c>
      <c r="BG469" t="e">
        <f t="shared" ca="1" si="42"/>
        <v>#VALUE!</v>
      </c>
    </row>
    <row r="470" spans="57:59" ht="12" customHeight="1" x14ac:dyDescent="0.2">
      <c r="BE470" s="19">
        <f t="shared" si="43"/>
        <v>0.49027777777777665</v>
      </c>
      <c r="BF470" t="e">
        <f t="shared" ca="1" si="41"/>
        <v>#VALUE!</v>
      </c>
      <c r="BG470" t="e">
        <f t="shared" ca="1" si="42"/>
        <v>#VALUE!</v>
      </c>
    </row>
    <row r="471" spans="57:59" ht="12" customHeight="1" x14ac:dyDescent="0.2">
      <c r="BE471" s="19">
        <f t="shared" si="43"/>
        <v>0.49097222222222109</v>
      </c>
      <c r="BF471" t="e">
        <f t="shared" ca="1" si="41"/>
        <v>#VALUE!</v>
      </c>
      <c r="BG471" t="e">
        <f t="shared" ca="1" si="42"/>
        <v>#VALUE!</v>
      </c>
    </row>
    <row r="472" spans="57:59" ht="12" customHeight="1" x14ac:dyDescent="0.2">
      <c r="BE472" s="19">
        <f t="shared" si="43"/>
        <v>0.49166666666666553</v>
      </c>
      <c r="BF472" t="e">
        <f t="shared" ca="1" si="41"/>
        <v>#VALUE!</v>
      </c>
      <c r="BG472" t="e">
        <f t="shared" ca="1" si="42"/>
        <v>#VALUE!</v>
      </c>
    </row>
    <row r="473" spans="57:59" ht="12" customHeight="1" x14ac:dyDescent="0.2">
      <c r="BE473" s="19">
        <f t="shared" si="43"/>
        <v>0.49236111111110997</v>
      </c>
      <c r="BF473" t="e">
        <f t="shared" ca="1" si="41"/>
        <v>#VALUE!</v>
      </c>
      <c r="BG473" t="e">
        <f t="shared" ca="1" si="42"/>
        <v>#VALUE!</v>
      </c>
    </row>
    <row r="474" spans="57:59" ht="12" customHeight="1" x14ac:dyDescent="0.2">
      <c r="BE474" s="19">
        <f t="shared" si="43"/>
        <v>0.49305555555555441</v>
      </c>
      <c r="BF474" t="e">
        <f t="shared" ca="1" si="41"/>
        <v>#VALUE!</v>
      </c>
      <c r="BG474" t="e">
        <f t="shared" ca="1" si="42"/>
        <v>#VALUE!</v>
      </c>
    </row>
    <row r="475" spans="57:59" ht="12" customHeight="1" x14ac:dyDescent="0.2">
      <c r="BE475" s="19">
        <f t="shared" si="43"/>
        <v>0.49374999999999886</v>
      </c>
      <c r="BF475" t="e">
        <f t="shared" ca="1" si="41"/>
        <v>#VALUE!</v>
      </c>
      <c r="BG475" t="e">
        <f t="shared" ca="1" si="42"/>
        <v>#VALUE!</v>
      </c>
    </row>
    <row r="476" spans="57:59" ht="12" customHeight="1" x14ac:dyDescent="0.2">
      <c r="BE476" s="19">
        <f t="shared" si="43"/>
        <v>0.4944444444444433</v>
      </c>
      <c r="BF476" t="e">
        <f t="shared" ca="1" si="41"/>
        <v>#VALUE!</v>
      </c>
      <c r="BG476" t="e">
        <f t="shared" ca="1" si="42"/>
        <v>#VALUE!</v>
      </c>
    </row>
    <row r="477" spans="57:59" ht="12" customHeight="1" x14ac:dyDescent="0.2">
      <c r="BE477" s="19">
        <f t="shared" si="43"/>
        <v>0.49513888888888774</v>
      </c>
      <c r="BF477" t="e">
        <f t="shared" ca="1" si="41"/>
        <v>#VALUE!</v>
      </c>
      <c r="BG477" t="e">
        <f t="shared" ca="1" si="42"/>
        <v>#VALUE!</v>
      </c>
    </row>
    <row r="478" spans="57:59" ht="12" customHeight="1" x14ac:dyDescent="0.2">
      <c r="BE478" s="19">
        <f t="shared" si="43"/>
        <v>0.49583333333333218</v>
      </c>
      <c r="BF478" t="e">
        <f t="shared" ca="1" si="41"/>
        <v>#VALUE!</v>
      </c>
      <c r="BG478" t="e">
        <f t="shared" ca="1" si="42"/>
        <v>#VALUE!</v>
      </c>
    </row>
    <row r="479" spans="57:59" ht="12" customHeight="1" x14ac:dyDescent="0.2">
      <c r="BE479" s="19">
        <f t="shared" si="43"/>
        <v>0.49652777777777662</v>
      </c>
      <c r="BF479" t="e">
        <f t="shared" ca="1" si="41"/>
        <v>#VALUE!</v>
      </c>
      <c r="BG479" t="e">
        <f t="shared" ca="1" si="42"/>
        <v>#VALUE!</v>
      </c>
    </row>
    <row r="480" spans="57:59" ht="12" customHeight="1" x14ac:dyDescent="0.2">
      <c r="BE480" s="19">
        <f t="shared" si="43"/>
        <v>0.49722222222222107</v>
      </c>
      <c r="BF480" t="e">
        <f t="shared" ca="1" si="41"/>
        <v>#VALUE!</v>
      </c>
      <c r="BG480" t="e">
        <f t="shared" ca="1" si="42"/>
        <v>#VALUE!</v>
      </c>
    </row>
    <row r="481" spans="57:59" ht="12" customHeight="1" x14ac:dyDescent="0.2">
      <c r="BE481" s="19">
        <f t="shared" si="43"/>
        <v>0.49791666666666551</v>
      </c>
      <c r="BF481" t="e">
        <f t="shared" ca="1" si="41"/>
        <v>#VALUE!</v>
      </c>
      <c r="BG481" t="e">
        <f t="shared" ca="1" si="42"/>
        <v>#VALUE!</v>
      </c>
    </row>
    <row r="482" spans="57:59" ht="12" customHeight="1" x14ac:dyDescent="0.2">
      <c r="BE482" s="19">
        <f t="shared" si="43"/>
        <v>0.49861111111110995</v>
      </c>
      <c r="BF482" t="e">
        <f t="shared" ca="1" si="41"/>
        <v>#VALUE!</v>
      </c>
      <c r="BG482" t="e">
        <f t="shared" ca="1" si="42"/>
        <v>#VALUE!</v>
      </c>
    </row>
    <row r="483" spans="57:59" ht="12" customHeight="1" x14ac:dyDescent="0.2">
      <c r="BE483" s="19">
        <f t="shared" si="43"/>
        <v>0.49930555555555439</v>
      </c>
      <c r="BF483" t="e">
        <f t="shared" ca="1" si="41"/>
        <v>#VALUE!</v>
      </c>
      <c r="BG483" t="e">
        <f t="shared" ca="1" si="42"/>
        <v>#VALUE!</v>
      </c>
    </row>
    <row r="484" spans="57:59" ht="12" customHeight="1" x14ac:dyDescent="0.2">
      <c r="BE484" s="19">
        <f t="shared" si="43"/>
        <v>0.49999999999999883</v>
      </c>
      <c r="BF484" t="e">
        <f t="shared" ca="1" si="41"/>
        <v>#VALUE!</v>
      </c>
      <c r="BG484" t="e">
        <f t="shared" ca="1" si="42"/>
        <v>#VALUE!</v>
      </c>
    </row>
    <row r="485" spans="57:59" ht="12" customHeight="1" x14ac:dyDescent="0.2">
      <c r="BE485" s="19">
        <f t="shared" si="43"/>
        <v>0.50069444444444333</v>
      </c>
      <c r="BF485" t="e">
        <f t="shared" ca="1" si="41"/>
        <v>#VALUE!</v>
      </c>
      <c r="BG485" t="e">
        <f t="shared" ca="1" si="42"/>
        <v>#VALUE!</v>
      </c>
    </row>
    <row r="486" spans="57:59" ht="12" customHeight="1" x14ac:dyDescent="0.2">
      <c r="BE486" s="19">
        <f t="shared" si="43"/>
        <v>0.50138888888888777</v>
      </c>
      <c r="BF486" t="e">
        <f t="shared" ca="1" si="41"/>
        <v>#VALUE!</v>
      </c>
      <c r="BG486" t="e">
        <f t="shared" ca="1" si="42"/>
        <v>#VALUE!</v>
      </c>
    </row>
    <row r="487" spans="57:59" ht="12" customHeight="1" x14ac:dyDescent="0.2">
      <c r="BE487" s="19">
        <f t="shared" si="43"/>
        <v>0.50208333333333222</v>
      </c>
      <c r="BF487" t="e">
        <f t="shared" ca="1" si="41"/>
        <v>#VALUE!</v>
      </c>
      <c r="BG487" t="e">
        <f t="shared" ca="1" si="42"/>
        <v>#VALUE!</v>
      </c>
    </row>
    <row r="488" spans="57:59" ht="12" customHeight="1" x14ac:dyDescent="0.2">
      <c r="BE488" s="19">
        <f t="shared" si="43"/>
        <v>0.50277777777777666</v>
      </c>
      <c r="BF488" t="e">
        <f t="shared" ca="1" si="41"/>
        <v>#VALUE!</v>
      </c>
      <c r="BG488" t="e">
        <f t="shared" ca="1" si="42"/>
        <v>#VALUE!</v>
      </c>
    </row>
    <row r="489" spans="57:59" ht="12" customHeight="1" x14ac:dyDescent="0.2">
      <c r="BE489" s="19">
        <f t="shared" si="43"/>
        <v>0.5034722222222211</v>
      </c>
      <c r="BF489" t="e">
        <f t="shared" ca="1" si="41"/>
        <v>#VALUE!</v>
      </c>
      <c r="BG489" t="e">
        <f t="shared" ca="1" si="42"/>
        <v>#VALUE!</v>
      </c>
    </row>
    <row r="490" spans="57:59" ht="12" customHeight="1" x14ac:dyDescent="0.2">
      <c r="BE490" s="19">
        <f t="shared" si="43"/>
        <v>0.50416666666666554</v>
      </c>
      <c r="BF490" t="e">
        <f t="shared" ca="1" si="41"/>
        <v>#VALUE!</v>
      </c>
      <c r="BG490" t="e">
        <f t="shared" ca="1" si="42"/>
        <v>#VALUE!</v>
      </c>
    </row>
    <row r="491" spans="57:59" ht="12" customHeight="1" x14ac:dyDescent="0.2">
      <c r="BE491" s="19">
        <f t="shared" si="43"/>
        <v>0.50486111111110998</v>
      </c>
      <c r="BF491" t="e">
        <f t="shared" ca="1" si="41"/>
        <v>#VALUE!</v>
      </c>
      <c r="BG491" t="e">
        <f t="shared" ca="1" si="42"/>
        <v>#VALUE!</v>
      </c>
    </row>
    <row r="492" spans="57:59" ht="12" customHeight="1" x14ac:dyDescent="0.2">
      <c r="BE492" s="19">
        <f t="shared" si="43"/>
        <v>0.50555555555555443</v>
      </c>
      <c r="BF492" t="e">
        <f t="shared" ca="1" si="41"/>
        <v>#VALUE!</v>
      </c>
      <c r="BG492" t="e">
        <f t="shared" ca="1" si="42"/>
        <v>#VALUE!</v>
      </c>
    </row>
    <row r="493" spans="57:59" ht="12" customHeight="1" x14ac:dyDescent="0.2">
      <c r="BE493" s="19">
        <f t="shared" si="43"/>
        <v>0.50624999999999887</v>
      </c>
      <c r="BF493" t="e">
        <f t="shared" ca="1" si="41"/>
        <v>#VALUE!</v>
      </c>
      <c r="BG493" t="e">
        <f t="shared" ca="1" si="42"/>
        <v>#VALUE!</v>
      </c>
    </row>
    <row r="494" spans="57:59" ht="12" customHeight="1" x14ac:dyDescent="0.2">
      <c r="BE494" s="19">
        <f t="shared" si="43"/>
        <v>0.50694444444444331</v>
      </c>
      <c r="BF494" t="e">
        <f t="shared" ca="1" si="41"/>
        <v>#VALUE!</v>
      </c>
      <c r="BG494" t="e">
        <f t="shared" ca="1" si="42"/>
        <v>#VALUE!</v>
      </c>
    </row>
    <row r="495" spans="57:59" ht="12" customHeight="1" x14ac:dyDescent="0.2">
      <c r="BE495" s="19">
        <f t="shared" si="43"/>
        <v>0.50763888888888775</v>
      </c>
      <c r="BF495" t="e">
        <f t="shared" ca="1" si="41"/>
        <v>#VALUE!</v>
      </c>
      <c r="BG495" t="e">
        <f t="shared" ca="1" si="42"/>
        <v>#VALUE!</v>
      </c>
    </row>
    <row r="496" spans="57:59" ht="12" customHeight="1" x14ac:dyDescent="0.2">
      <c r="BE496" s="19">
        <f t="shared" si="43"/>
        <v>0.50833333333333219</v>
      </c>
      <c r="BF496" t="e">
        <f t="shared" ca="1" si="41"/>
        <v>#VALUE!</v>
      </c>
      <c r="BG496" t="e">
        <f t="shared" ca="1" si="42"/>
        <v>#VALUE!</v>
      </c>
    </row>
    <row r="497" spans="57:59" ht="12" customHeight="1" x14ac:dyDescent="0.2">
      <c r="BE497" s="19">
        <f t="shared" si="43"/>
        <v>0.50902777777777664</v>
      </c>
      <c r="BF497" t="e">
        <f t="shared" ca="1" si="41"/>
        <v>#VALUE!</v>
      </c>
      <c r="BG497" t="e">
        <f t="shared" ca="1" si="42"/>
        <v>#VALUE!</v>
      </c>
    </row>
    <row r="498" spans="57:59" ht="12" customHeight="1" x14ac:dyDescent="0.2">
      <c r="BE498" s="19">
        <f t="shared" si="43"/>
        <v>0.50972222222222108</v>
      </c>
      <c r="BF498" t="e">
        <f t="shared" ca="1" si="41"/>
        <v>#VALUE!</v>
      </c>
      <c r="BG498" t="e">
        <f t="shared" ca="1" si="42"/>
        <v>#VALUE!</v>
      </c>
    </row>
    <row r="499" spans="57:59" ht="12" customHeight="1" x14ac:dyDescent="0.2">
      <c r="BE499" s="19">
        <f t="shared" si="43"/>
        <v>0.51041666666666552</v>
      </c>
      <c r="BF499" t="e">
        <f t="shared" ca="1" si="41"/>
        <v>#VALUE!</v>
      </c>
      <c r="BG499" t="e">
        <f t="shared" ca="1" si="42"/>
        <v>#VALUE!</v>
      </c>
    </row>
    <row r="500" spans="57:59" ht="12" customHeight="1" x14ac:dyDescent="0.2">
      <c r="BE500" s="19">
        <f t="shared" si="43"/>
        <v>0.51111111111110996</v>
      </c>
      <c r="BF500" t="e">
        <f t="shared" ca="1" si="41"/>
        <v>#VALUE!</v>
      </c>
      <c r="BG500" t="e">
        <f t="shared" ca="1" si="42"/>
        <v>#VALUE!</v>
      </c>
    </row>
    <row r="501" spans="57:59" ht="12" customHeight="1" x14ac:dyDescent="0.2">
      <c r="BE501" s="19">
        <f t="shared" si="43"/>
        <v>0.5118055555555544</v>
      </c>
      <c r="BF501" t="e">
        <f t="shared" ca="1" si="41"/>
        <v>#VALUE!</v>
      </c>
      <c r="BG501" t="e">
        <f t="shared" ca="1" si="42"/>
        <v>#VALUE!</v>
      </c>
    </row>
    <row r="502" spans="57:59" ht="12" customHeight="1" x14ac:dyDescent="0.2">
      <c r="BE502" s="19">
        <f t="shared" si="43"/>
        <v>0.51249999999999885</v>
      </c>
      <c r="BF502" t="e">
        <f t="shared" ca="1" si="41"/>
        <v>#VALUE!</v>
      </c>
      <c r="BG502" t="e">
        <f t="shared" ca="1" si="42"/>
        <v>#VALUE!</v>
      </c>
    </row>
    <row r="503" spans="57:59" ht="12" customHeight="1" x14ac:dyDescent="0.2">
      <c r="BE503" s="19">
        <f t="shared" si="43"/>
        <v>0.51319444444444329</v>
      </c>
      <c r="BF503" t="e">
        <f t="shared" ca="1" si="41"/>
        <v>#VALUE!</v>
      </c>
      <c r="BG503" t="e">
        <f t="shared" ca="1" si="42"/>
        <v>#VALUE!</v>
      </c>
    </row>
    <row r="504" spans="57:59" ht="12" customHeight="1" x14ac:dyDescent="0.2">
      <c r="BE504" s="19">
        <f t="shared" si="43"/>
        <v>0.51388888888888773</v>
      </c>
      <c r="BF504" t="e">
        <f t="shared" ca="1" si="41"/>
        <v>#VALUE!</v>
      </c>
      <c r="BG504" t="e">
        <f t="shared" ca="1" si="42"/>
        <v>#VALUE!</v>
      </c>
    </row>
    <row r="505" spans="57:59" ht="12" customHeight="1" x14ac:dyDescent="0.2">
      <c r="BE505" s="19">
        <f t="shared" si="43"/>
        <v>0.51458333333333217</v>
      </c>
      <c r="BF505" t="e">
        <f t="shared" ca="1" si="41"/>
        <v>#VALUE!</v>
      </c>
      <c r="BG505" t="e">
        <f t="shared" ca="1" si="42"/>
        <v>#VALUE!</v>
      </c>
    </row>
    <row r="506" spans="57:59" ht="12" customHeight="1" x14ac:dyDescent="0.2">
      <c r="BE506" s="19">
        <f t="shared" si="43"/>
        <v>0.51527777777777661</v>
      </c>
      <c r="BF506" t="e">
        <f t="shared" ca="1" si="41"/>
        <v>#VALUE!</v>
      </c>
      <c r="BG506" t="e">
        <f t="shared" ca="1" si="42"/>
        <v>#VALUE!</v>
      </c>
    </row>
    <row r="507" spans="57:59" ht="12" customHeight="1" x14ac:dyDescent="0.2">
      <c r="BE507" s="19">
        <f t="shared" si="43"/>
        <v>0.51597222222222106</v>
      </c>
      <c r="BF507" t="e">
        <f t="shared" ca="1" si="41"/>
        <v>#VALUE!</v>
      </c>
      <c r="BG507" t="e">
        <f t="shared" ca="1" si="42"/>
        <v>#VALUE!</v>
      </c>
    </row>
    <row r="508" spans="57:59" ht="12" customHeight="1" x14ac:dyDescent="0.2">
      <c r="BE508" s="19">
        <f t="shared" si="43"/>
        <v>0.5166666666666655</v>
      </c>
      <c r="BF508" t="e">
        <f t="shared" ca="1" si="41"/>
        <v>#VALUE!</v>
      </c>
      <c r="BG508" t="e">
        <f t="shared" ca="1" si="42"/>
        <v>#VALUE!</v>
      </c>
    </row>
    <row r="509" spans="57:59" ht="12" customHeight="1" x14ac:dyDescent="0.2">
      <c r="BE509" s="19">
        <f t="shared" si="43"/>
        <v>0.51736111111110994</v>
      </c>
      <c r="BF509" t="e">
        <f t="shared" ca="1" si="41"/>
        <v>#VALUE!</v>
      </c>
      <c r="BG509" t="e">
        <f t="shared" ca="1" si="42"/>
        <v>#VALUE!</v>
      </c>
    </row>
    <row r="510" spans="57:59" ht="12" customHeight="1" x14ac:dyDescent="0.2">
      <c r="BE510" s="19">
        <f t="shared" si="43"/>
        <v>0.51805555555555438</v>
      </c>
      <c r="BF510" t="e">
        <f t="shared" ca="1" si="41"/>
        <v>#VALUE!</v>
      </c>
      <c r="BG510" t="e">
        <f t="shared" ca="1" si="42"/>
        <v>#VALUE!</v>
      </c>
    </row>
    <row r="511" spans="57:59" ht="12" customHeight="1" x14ac:dyDescent="0.2">
      <c r="BE511" s="19">
        <f t="shared" si="43"/>
        <v>0.51874999999999882</v>
      </c>
      <c r="BF511" t="e">
        <f t="shared" ca="1" si="41"/>
        <v>#VALUE!</v>
      </c>
      <c r="BG511" t="e">
        <f t="shared" ca="1" si="42"/>
        <v>#VALUE!</v>
      </c>
    </row>
    <row r="512" spans="57:59" ht="12" customHeight="1" x14ac:dyDescent="0.2">
      <c r="BE512" s="19">
        <f t="shared" si="43"/>
        <v>0.51944444444444327</v>
      </c>
      <c r="BF512" t="e">
        <f t="shared" ca="1" si="41"/>
        <v>#VALUE!</v>
      </c>
      <c r="BG512" t="e">
        <f t="shared" ca="1" si="42"/>
        <v>#VALUE!</v>
      </c>
    </row>
    <row r="513" spans="57:59" ht="12" customHeight="1" x14ac:dyDescent="0.2">
      <c r="BE513" s="19">
        <f t="shared" si="43"/>
        <v>0.52013888888888771</v>
      </c>
      <c r="BF513" t="e">
        <f t="shared" ca="1" si="41"/>
        <v>#VALUE!</v>
      </c>
      <c r="BG513" t="e">
        <f t="shared" ca="1" si="42"/>
        <v>#VALUE!</v>
      </c>
    </row>
    <row r="514" spans="57:59" ht="12" customHeight="1" x14ac:dyDescent="0.2">
      <c r="BE514" s="19">
        <f t="shared" si="43"/>
        <v>0.52083333333333215</v>
      </c>
      <c r="BF514" t="e">
        <f t="shared" ca="1" si="41"/>
        <v>#VALUE!</v>
      </c>
      <c r="BG514" t="e">
        <f t="shared" ca="1" si="42"/>
        <v>#VALUE!</v>
      </c>
    </row>
    <row r="515" spans="57:59" ht="12" customHeight="1" x14ac:dyDescent="0.2">
      <c r="BE515" s="19">
        <f t="shared" si="43"/>
        <v>0.52152777777777659</v>
      </c>
      <c r="BF515" t="e">
        <f t="shared" ca="1" si="41"/>
        <v>#VALUE!</v>
      </c>
      <c r="BG515" t="e">
        <f t="shared" ca="1" si="42"/>
        <v>#VALUE!</v>
      </c>
    </row>
    <row r="516" spans="57:59" ht="12" customHeight="1" x14ac:dyDescent="0.2">
      <c r="BE516" s="19">
        <f t="shared" si="43"/>
        <v>0.52222222222222103</v>
      </c>
      <c r="BF516" t="e">
        <f t="shared" ref="BF516:BF579" ca="1" si="44">IF(BG516=0,AVERAGE(OFFSET(BH516,0,0,1,$A$1-1)),AVERAGE(BG516,OFFSET(BH516,0,0,1,$A$1-1)))</f>
        <v>#VALUE!</v>
      </c>
      <c r="BG516" t="e">
        <f t="shared" ca="1" si="42"/>
        <v>#VALUE!</v>
      </c>
    </row>
    <row r="517" spans="57:59" ht="12" customHeight="1" x14ac:dyDescent="0.2">
      <c r="BE517" s="19">
        <f t="shared" si="43"/>
        <v>0.52291666666666548</v>
      </c>
      <c r="BF517" t="e">
        <f t="shared" ca="1" si="44"/>
        <v>#VALUE!</v>
      </c>
      <c r="BG517" t="e">
        <f t="shared" ref="BG517:BG580" ca="1" si="45">IF(BE517&lt;$B$5-1/1440,0,OFFSET($AA$4,(BE517-$B$4)*1440,0,1,1))</f>
        <v>#VALUE!</v>
      </c>
    </row>
    <row r="518" spans="57:59" ht="12" customHeight="1" x14ac:dyDescent="0.2">
      <c r="BE518" s="19">
        <f t="shared" ref="BE518:BE581" si="46">BE517+1/1440</f>
        <v>0.52361111111110992</v>
      </c>
      <c r="BF518" t="e">
        <f t="shared" ca="1" si="44"/>
        <v>#VALUE!</v>
      </c>
      <c r="BG518" t="e">
        <f t="shared" ca="1" si="45"/>
        <v>#VALUE!</v>
      </c>
    </row>
    <row r="519" spans="57:59" ht="12" customHeight="1" x14ac:dyDescent="0.2">
      <c r="BE519" s="19">
        <f t="shared" si="46"/>
        <v>0.52430555555555436</v>
      </c>
      <c r="BF519" t="e">
        <f t="shared" ca="1" si="44"/>
        <v>#VALUE!</v>
      </c>
      <c r="BG519" t="e">
        <f t="shared" ca="1" si="45"/>
        <v>#VALUE!</v>
      </c>
    </row>
    <row r="520" spans="57:59" ht="12" customHeight="1" x14ac:dyDescent="0.2">
      <c r="BE520" s="19">
        <f t="shared" si="46"/>
        <v>0.5249999999999988</v>
      </c>
      <c r="BF520" t="e">
        <f t="shared" ca="1" si="44"/>
        <v>#VALUE!</v>
      </c>
      <c r="BG520" t="e">
        <f t="shared" ca="1" si="45"/>
        <v>#VALUE!</v>
      </c>
    </row>
    <row r="521" spans="57:59" ht="12" customHeight="1" x14ac:dyDescent="0.2">
      <c r="BE521" s="19">
        <f t="shared" si="46"/>
        <v>0.52569444444444324</v>
      </c>
      <c r="BF521" t="e">
        <f t="shared" ca="1" si="44"/>
        <v>#VALUE!</v>
      </c>
      <c r="BG521" t="e">
        <f t="shared" ca="1" si="45"/>
        <v>#VALUE!</v>
      </c>
    </row>
    <row r="522" spans="57:59" ht="12" customHeight="1" x14ac:dyDescent="0.2">
      <c r="BE522" s="19">
        <f t="shared" si="46"/>
        <v>0.52638888888888768</v>
      </c>
      <c r="BF522" t="e">
        <f t="shared" ca="1" si="44"/>
        <v>#VALUE!</v>
      </c>
      <c r="BG522" t="e">
        <f t="shared" ca="1" si="45"/>
        <v>#VALUE!</v>
      </c>
    </row>
    <row r="523" spans="57:59" ht="12" customHeight="1" x14ac:dyDescent="0.2">
      <c r="BE523" s="19">
        <f t="shared" si="46"/>
        <v>0.52708333333333213</v>
      </c>
      <c r="BF523" t="e">
        <f t="shared" ca="1" si="44"/>
        <v>#VALUE!</v>
      </c>
      <c r="BG523" t="e">
        <f t="shared" ca="1" si="45"/>
        <v>#VALUE!</v>
      </c>
    </row>
    <row r="524" spans="57:59" ht="12" customHeight="1" x14ac:dyDescent="0.2">
      <c r="BE524" s="19">
        <f t="shared" si="46"/>
        <v>0.52777777777777657</v>
      </c>
      <c r="BF524" t="e">
        <f t="shared" ca="1" si="44"/>
        <v>#VALUE!</v>
      </c>
      <c r="BG524" t="e">
        <f t="shared" ca="1" si="45"/>
        <v>#VALUE!</v>
      </c>
    </row>
    <row r="525" spans="57:59" ht="12" customHeight="1" x14ac:dyDescent="0.2">
      <c r="BE525" s="19">
        <f t="shared" si="46"/>
        <v>0.52847222222222101</v>
      </c>
      <c r="BF525" t="e">
        <f t="shared" ca="1" si="44"/>
        <v>#VALUE!</v>
      </c>
      <c r="BG525" t="e">
        <f t="shared" ca="1" si="45"/>
        <v>#VALUE!</v>
      </c>
    </row>
    <row r="526" spans="57:59" ht="12" customHeight="1" x14ac:dyDescent="0.2">
      <c r="BE526" s="19">
        <f t="shared" si="46"/>
        <v>0.52916666666666545</v>
      </c>
      <c r="BF526" t="e">
        <f t="shared" ca="1" si="44"/>
        <v>#VALUE!</v>
      </c>
      <c r="BG526" t="e">
        <f t="shared" ca="1" si="45"/>
        <v>#VALUE!</v>
      </c>
    </row>
    <row r="527" spans="57:59" ht="12" customHeight="1" x14ac:dyDescent="0.2">
      <c r="BE527" s="19">
        <f t="shared" si="46"/>
        <v>0.52986111111110989</v>
      </c>
      <c r="BF527" t="e">
        <f t="shared" ca="1" si="44"/>
        <v>#VALUE!</v>
      </c>
      <c r="BG527" t="e">
        <f t="shared" ca="1" si="45"/>
        <v>#VALUE!</v>
      </c>
    </row>
    <row r="528" spans="57:59" ht="12" customHeight="1" x14ac:dyDescent="0.2">
      <c r="BE528" s="19">
        <f t="shared" si="46"/>
        <v>0.53055555555555434</v>
      </c>
      <c r="BF528" t="e">
        <f t="shared" ca="1" si="44"/>
        <v>#VALUE!</v>
      </c>
      <c r="BG528" t="e">
        <f t="shared" ca="1" si="45"/>
        <v>#VALUE!</v>
      </c>
    </row>
    <row r="529" spans="57:59" ht="12" customHeight="1" x14ac:dyDescent="0.2">
      <c r="BE529" s="19">
        <f t="shared" si="46"/>
        <v>0.53124999999999878</v>
      </c>
      <c r="BF529" t="e">
        <f t="shared" ca="1" si="44"/>
        <v>#VALUE!</v>
      </c>
      <c r="BG529" t="e">
        <f t="shared" ca="1" si="45"/>
        <v>#VALUE!</v>
      </c>
    </row>
    <row r="530" spans="57:59" ht="12" customHeight="1" x14ac:dyDescent="0.2">
      <c r="BE530" s="19">
        <f t="shared" si="46"/>
        <v>0.53194444444444322</v>
      </c>
      <c r="BF530" t="e">
        <f t="shared" ca="1" si="44"/>
        <v>#VALUE!</v>
      </c>
      <c r="BG530" t="e">
        <f t="shared" ca="1" si="45"/>
        <v>#VALUE!</v>
      </c>
    </row>
    <row r="531" spans="57:59" ht="12" customHeight="1" x14ac:dyDescent="0.2">
      <c r="BE531" s="19">
        <f t="shared" si="46"/>
        <v>0.53263888888888766</v>
      </c>
      <c r="BF531" t="e">
        <f t="shared" ca="1" si="44"/>
        <v>#VALUE!</v>
      </c>
      <c r="BG531" t="e">
        <f t="shared" ca="1" si="45"/>
        <v>#VALUE!</v>
      </c>
    </row>
    <row r="532" spans="57:59" ht="12" customHeight="1" x14ac:dyDescent="0.2">
      <c r="BE532" s="19">
        <f t="shared" si="46"/>
        <v>0.5333333333333321</v>
      </c>
      <c r="BF532" t="e">
        <f t="shared" ca="1" si="44"/>
        <v>#VALUE!</v>
      </c>
      <c r="BG532" t="e">
        <f t="shared" ca="1" si="45"/>
        <v>#VALUE!</v>
      </c>
    </row>
    <row r="533" spans="57:59" ht="12" customHeight="1" x14ac:dyDescent="0.2">
      <c r="BE533" s="19">
        <f t="shared" si="46"/>
        <v>0.53402777777777655</v>
      </c>
      <c r="BF533" t="e">
        <f t="shared" ca="1" si="44"/>
        <v>#VALUE!</v>
      </c>
      <c r="BG533" t="e">
        <f t="shared" ca="1" si="45"/>
        <v>#VALUE!</v>
      </c>
    </row>
    <row r="534" spans="57:59" ht="12" customHeight="1" x14ac:dyDescent="0.2">
      <c r="BE534" s="19">
        <f t="shared" si="46"/>
        <v>0.53472222222222099</v>
      </c>
      <c r="BF534" t="e">
        <f t="shared" ca="1" si="44"/>
        <v>#VALUE!</v>
      </c>
      <c r="BG534" t="e">
        <f t="shared" ca="1" si="45"/>
        <v>#VALUE!</v>
      </c>
    </row>
    <row r="535" spans="57:59" ht="12" customHeight="1" x14ac:dyDescent="0.2">
      <c r="BE535" s="19">
        <f t="shared" si="46"/>
        <v>0.53541666666666543</v>
      </c>
      <c r="BF535" t="e">
        <f t="shared" ca="1" si="44"/>
        <v>#VALUE!</v>
      </c>
      <c r="BG535" t="e">
        <f t="shared" ca="1" si="45"/>
        <v>#VALUE!</v>
      </c>
    </row>
    <row r="536" spans="57:59" ht="12" customHeight="1" x14ac:dyDescent="0.2">
      <c r="BE536" s="19">
        <f t="shared" si="46"/>
        <v>0.53611111111110987</v>
      </c>
      <c r="BF536" t="e">
        <f t="shared" ca="1" si="44"/>
        <v>#VALUE!</v>
      </c>
      <c r="BG536" t="e">
        <f t="shared" ca="1" si="45"/>
        <v>#VALUE!</v>
      </c>
    </row>
    <row r="537" spans="57:59" ht="12" customHeight="1" x14ac:dyDescent="0.2">
      <c r="BE537" s="19">
        <f t="shared" si="46"/>
        <v>0.53680555555555431</v>
      </c>
      <c r="BF537" t="e">
        <f t="shared" ca="1" si="44"/>
        <v>#VALUE!</v>
      </c>
      <c r="BG537" t="e">
        <f t="shared" ca="1" si="45"/>
        <v>#VALUE!</v>
      </c>
    </row>
    <row r="538" spans="57:59" ht="12" customHeight="1" x14ac:dyDescent="0.2">
      <c r="BE538" s="19">
        <f t="shared" si="46"/>
        <v>0.53749999999999876</v>
      </c>
      <c r="BF538" t="e">
        <f t="shared" ca="1" si="44"/>
        <v>#VALUE!</v>
      </c>
      <c r="BG538" t="e">
        <f t="shared" ca="1" si="45"/>
        <v>#VALUE!</v>
      </c>
    </row>
    <row r="539" spans="57:59" ht="12" customHeight="1" x14ac:dyDescent="0.2">
      <c r="BE539" s="19">
        <f t="shared" si="46"/>
        <v>0.5381944444444432</v>
      </c>
      <c r="BF539" t="e">
        <f t="shared" ca="1" si="44"/>
        <v>#VALUE!</v>
      </c>
      <c r="BG539" t="e">
        <f t="shared" ca="1" si="45"/>
        <v>#VALUE!</v>
      </c>
    </row>
    <row r="540" spans="57:59" ht="12" customHeight="1" x14ac:dyDescent="0.2">
      <c r="BE540" s="19">
        <f t="shared" si="46"/>
        <v>0.53888888888888764</v>
      </c>
      <c r="BF540" t="e">
        <f t="shared" ca="1" si="44"/>
        <v>#VALUE!</v>
      </c>
      <c r="BG540" t="e">
        <f t="shared" ca="1" si="45"/>
        <v>#VALUE!</v>
      </c>
    </row>
    <row r="541" spans="57:59" ht="12" customHeight="1" x14ac:dyDescent="0.2">
      <c r="BE541" s="19">
        <f t="shared" si="46"/>
        <v>0.53958333333333208</v>
      </c>
      <c r="BF541" t="e">
        <f t="shared" ca="1" si="44"/>
        <v>#VALUE!</v>
      </c>
      <c r="BG541" t="e">
        <f t="shared" ca="1" si="45"/>
        <v>#VALUE!</v>
      </c>
    </row>
    <row r="542" spans="57:59" ht="12" customHeight="1" x14ac:dyDescent="0.2">
      <c r="BE542" s="19">
        <f t="shared" si="46"/>
        <v>0.54027777777777652</v>
      </c>
      <c r="BF542" t="e">
        <f t="shared" ca="1" si="44"/>
        <v>#VALUE!</v>
      </c>
      <c r="BG542" t="e">
        <f t="shared" ca="1" si="45"/>
        <v>#VALUE!</v>
      </c>
    </row>
    <row r="543" spans="57:59" ht="12" customHeight="1" x14ac:dyDescent="0.2">
      <c r="BE543" s="19">
        <f t="shared" si="46"/>
        <v>0.54097222222222097</v>
      </c>
      <c r="BF543" t="e">
        <f t="shared" ca="1" si="44"/>
        <v>#VALUE!</v>
      </c>
      <c r="BG543" t="e">
        <f t="shared" ca="1" si="45"/>
        <v>#VALUE!</v>
      </c>
    </row>
    <row r="544" spans="57:59" ht="12" customHeight="1" x14ac:dyDescent="0.2">
      <c r="BE544" s="19">
        <f t="shared" si="46"/>
        <v>0.54166666666666541</v>
      </c>
      <c r="BF544" t="e">
        <f t="shared" ca="1" si="44"/>
        <v>#VALUE!</v>
      </c>
      <c r="BG544" t="e">
        <f t="shared" ca="1" si="45"/>
        <v>#VALUE!</v>
      </c>
    </row>
    <row r="545" spans="57:59" ht="12" customHeight="1" x14ac:dyDescent="0.2">
      <c r="BE545" s="19">
        <f t="shared" si="46"/>
        <v>0.54236111111110985</v>
      </c>
      <c r="BF545" t="e">
        <f t="shared" ca="1" si="44"/>
        <v>#VALUE!</v>
      </c>
      <c r="BG545" t="e">
        <f t="shared" ca="1" si="45"/>
        <v>#VALUE!</v>
      </c>
    </row>
    <row r="546" spans="57:59" ht="12" customHeight="1" x14ac:dyDescent="0.2">
      <c r="BE546" s="19">
        <f t="shared" si="46"/>
        <v>0.54305555555555429</v>
      </c>
      <c r="BF546" t="e">
        <f t="shared" ca="1" si="44"/>
        <v>#VALUE!</v>
      </c>
      <c r="BG546" t="e">
        <f t="shared" ca="1" si="45"/>
        <v>#VALUE!</v>
      </c>
    </row>
    <row r="547" spans="57:59" ht="12" customHeight="1" x14ac:dyDescent="0.2">
      <c r="BE547" s="19">
        <f t="shared" si="46"/>
        <v>0.54374999999999873</v>
      </c>
      <c r="BF547" t="e">
        <f t="shared" ca="1" si="44"/>
        <v>#VALUE!</v>
      </c>
      <c r="BG547" t="e">
        <f t="shared" ca="1" si="45"/>
        <v>#VALUE!</v>
      </c>
    </row>
    <row r="548" spans="57:59" ht="12" customHeight="1" x14ac:dyDescent="0.2">
      <c r="BE548" s="19">
        <f t="shared" si="46"/>
        <v>0.54444444444444318</v>
      </c>
      <c r="BF548" t="e">
        <f t="shared" ca="1" si="44"/>
        <v>#VALUE!</v>
      </c>
      <c r="BG548" t="e">
        <f t="shared" ca="1" si="45"/>
        <v>#VALUE!</v>
      </c>
    </row>
    <row r="549" spans="57:59" ht="12" customHeight="1" x14ac:dyDescent="0.2">
      <c r="BE549" s="19">
        <f t="shared" si="46"/>
        <v>0.54513888888888762</v>
      </c>
      <c r="BF549" t="e">
        <f t="shared" ca="1" si="44"/>
        <v>#VALUE!</v>
      </c>
      <c r="BG549" t="e">
        <f t="shared" ca="1" si="45"/>
        <v>#VALUE!</v>
      </c>
    </row>
    <row r="550" spans="57:59" ht="12" customHeight="1" x14ac:dyDescent="0.2">
      <c r="BE550" s="19">
        <f t="shared" si="46"/>
        <v>0.54583333333333206</v>
      </c>
      <c r="BF550" t="e">
        <f t="shared" ca="1" si="44"/>
        <v>#VALUE!</v>
      </c>
      <c r="BG550" t="e">
        <f t="shared" ca="1" si="45"/>
        <v>#VALUE!</v>
      </c>
    </row>
    <row r="551" spans="57:59" ht="12" customHeight="1" x14ac:dyDescent="0.2">
      <c r="BE551" s="19">
        <f t="shared" si="46"/>
        <v>0.5465277777777765</v>
      </c>
      <c r="BF551" t="e">
        <f t="shared" ca="1" si="44"/>
        <v>#VALUE!</v>
      </c>
      <c r="BG551" t="e">
        <f t="shared" ca="1" si="45"/>
        <v>#VALUE!</v>
      </c>
    </row>
    <row r="552" spans="57:59" ht="12" customHeight="1" x14ac:dyDescent="0.2">
      <c r="BE552" s="19">
        <f t="shared" si="46"/>
        <v>0.54722222222222094</v>
      </c>
      <c r="BF552" t="e">
        <f t="shared" ca="1" si="44"/>
        <v>#VALUE!</v>
      </c>
      <c r="BG552" t="e">
        <f t="shared" ca="1" si="45"/>
        <v>#VALUE!</v>
      </c>
    </row>
    <row r="553" spans="57:59" ht="12" customHeight="1" x14ac:dyDescent="0.2">
      <c r="BE553" s="19">
        <f t="shared" si="46"/>
        <v>0.54791666666666539</v>
      </c>
      <c r="BF553" t="e">
        <f t="shared" ca="1" si="44"/>
        <v>#VALUE!</v>
      </c>
      <c r="BG553" t="e">
        <f t="shared" ca="1" si="45"/>
        <v>#VALUE!</v>
      </c>
    </row>
    <row r="554" spans="57:59" ht="12" customHeight="1" x14ac:dyDescent="0.2">
      <c r="BE554" s="19">
        <f t="shared" si="46"/>
        <v>0.54861111111110983</v>
      </c>
      <c r="BF554" t="e">
        <f t="shared" ca="1" si="44"/>
        <v>#VALUE!</v>
      </c>
      <c r="BG554" t="e">
        <f t="shared" ca="1" si="45"/>
        <v>#VALUE!</v>
      </c>
    </row>
    <row r="555" spans="57:59" ht="12" customHeight="1" x14ac:dyDescent="0.2">
      <c r="BE555" s="19">
        <f t="shared" si="46"/>
        <v>0.54930555555555427</v>
      </c>
      <c r="BF555" t="e">
        <f t="shared" ca="1" si="44"/>
        <v>#VALUE!</v>
      </c>
      <c r="BG555" t="e">
        <f t="shared" ca="1" si="45"/>
        <v>#VALUE!</v>
      </c>
    </row>
    <row r="556" spans="57:59" ht="12" customHeight="1" x14ac:dyDescent="0.2">
      <c r="BE556" s="19">
        <f t="shared" si="46"/>
        <v>0.54999999999999871</v>
      </c>
      <c r="BF556" t="e">
        <f t="shared" ca="1" si="44"/>
        <v>#VALUE!</v>
      </c>
      <c r="BG556" t="e">
        <f t="shared" ca="1" si="45"/>
        <v>#VALUE!</v>
      </c>
    </row>
    <row r="557" spans="57:59" ht="12" customHeight="1" x14ac:dyDescent="0.2">
      <c r="BE557" s="19">
        <f t="shared" si="46"/>
        <v>0.55069444444444315</v>
      </c>
      <c r="BF557" t="e">
        <f t="shared" ca="1" si="44"/>
        <v>#VALUE!</v>
      </c>
      <c r="BG557" t="e">
        <f t="shared" ca="1" si="45"/>
        <v>#VALUE!</v>
      </c>
    </row>
    <row r="558" spans="57:59" ht="12" customHeight="1" x14ac:dyDescent="0.2">
      <c r="BE558" s="19">
        <f t="shared" si="46"/>
        <v>0.5513888888888876</v>
      </c>
      <c r="BF558" t="e">
        <f t="shared" ca="1" si="44"/>
        <v>#VALUE!</v>
      </c>
      <c r="BG558" t="e">
        <f t="shared" ca="1" si="45"/>
        <v>#VALUE!</v>
      </c>
    </row>
    <row r="559" spans="57:59" ht="12" customHeight="1" x14ac:dyDescent="0.2">
      <c r="BE559" s="19">
        <f t="shared" si="46"/>
        <v>0.55208333333333204</v>
      </c>
      <c r="BF559" t="e">
        <f t="shared" ca="1" si="44"/>
        <v>#VALUE!</v>
      </c>
      <c r="BG559" t="e">
        <f t="shared" ca="1" si="45"/>
        <v>#VALUE!</v>
      </c>
    </row>
    <row r="560" spans="57:59" ht="12" customHeight="1" x14ac:dyDescent="0.2">
      <c r="BE560" s="19">
        <f t="shared" si="46"/>
        <v>0.55277777777777648</v>
      </c>
      <c r="BF560" t="e">
        <f t="shared" ca="1" si="44"/>
        <v>#VALUE!</v>
      </c>
      <c r="BG560" t="e">
        <f t="shared" ca="1" si="45"/>
        <v>#VALUE!</v>
      </c>
    </row>
    <row r="561" spans="57:59" ht="12" customHeight="1" x14ac:dyDescent="0.2">
      <c r="BE561" s="19">
        <f t="shared" si="46"/>
        <v>0.55347222222222092</v>
      </c>
      <c r="BF561" t="e">
        <f t="shared" ca="1" si="44"/>
        <v>#VALUE!</v>
      </c>
      <c r="BG561" t="e">
        <f t="shared" ca="1" si="45"/>
        <v>#VALUE!</v>
      </c>
    </row>
    <row r="562" spans="57:59" ht="12" customHeight="1" x14ac:dyDescent="0.2">
      <c r="BE562" s="19">
        <f t="shared" si="46"/>
        <v>0.55416666666666536</v>
      </c>
      <c r="BF562" t="e">
        <f t="shared" ca="1" si="44"/>
        <v>#VALUE!</v>
      </c>
      <c r="BG562" t="e">
        <f t="shared" ca="1" si="45"/>
        <v>#VALUE!</v>
      </c>
    </row>
    <row r="563" spans="57:59" ht="12" customHeight="1" x14ac:dyDescent="0.2">
      <c r="BE563" s="19">
        <f t="shared" si="46"/>
        <v>0.55486111111110981</v>
      </c>
      <c r="BF563" t="e">
        <f t="shared" ca="1" si="44"/>
        <v>#VALUE!</v>
      </c>
      <c r="BG563" t="e">
        <f t="shared" ca="1" si="45"/>
        <v>#VALUE!</v>
      </c>
    </row>
    <row r="564" spans="57:59" ht="12" customHeight="1" x14ac:dyDescent="0.2">
      <c r="BE564" s="19">
        <f t="shared" si="46"/>
        <v>0.55555555555555425</v>
      </c>
      <c r="BF564" t="e">
        <f t="shared" ca="1" si="44"/>
        <v>#VALUE!</v>
      </c>
      <c r="BG564" t="e">
        <f t="shared" ca="1" si="45"/>
        <v>#VALUE!</v>
      </c>
    </row>
    <row r="565" spans="57:59" ht="12" customHeight="1" x14ac:dyDescent="0.2">
      <c r="BE565" s="19">
        <f t="shared" si="46"/>
        <v>0.55624999999999869</v>
      </c>
      <c r="BF565" t="e">
        <f t="shared" ca="1" si="44"/>
        <v>#VALUE!</v>
      </c>
      <c r="BG565" t="e">
        <f t="shared" ca="1" si="45"/>
        <v>#VALUE!</v>
      </c>
    </row>
    <row r="566" spans="57:59" ht="12" customHeight="1" x14ac:dyDescent="0.2">
      <c r="BE566" s="19">
        <f t="shared" si="46"/>
        <v>0.55694444444444313</v>
      </c>
      <c r="BF566" t="e">
        <f t="shared" ca="1" si="44"/>
        <v>#VALUE!</v>
      </c>
      <c r="BG566" t="e">
        <f t="shared" ca="1" si="45"/>
        <v>#VALUE!</v>
      </c>
    </row>
    <row r="567" spans="57:59" ht="12" customHeight="1" x14ac:dyDescent="0.2">
      <c r="BE567" s="19">
        <f t="shared" si="46"/>
        <v>0.55763888888888757</v>
      </c>
      <c r="BF567" t="e">
        <f t="shared" ca="1" si="44"/>
        <v>#VALUE!</v>
      </c>
      <c r="BG567" t="e">
        <f t="shared" ca="1" si="45"/>
        <v>#VALUE!</v>
      </c>
    </row>
    <row r="568" spans="57:59" ht="12" customHeight="1" x14ac:dyDescent="0.2">
      <c r="BE568" s="19">
        <f t="shared" si="46"/>
        <v>0.55833333333333202</v>
      </c>
      <c r="BF568" t="e">
        <f t="shared" ca="1" si="44"/>
        <v>#VALUE!</v>
      </c>
      <c r="BG568" t="e">
        <f t="shared" ca="1" si="45"/>
        <v>#VALUE!</v>
      </c>
    </row>
    <row r="569" spans="57:59" ht="12" customHeight="1" x14ac:dyDescent="0.2">
      <c r="BE569" s="19">
        <f t="shared" si="46"/>
        <v>0.55902777777777646</v>
      </c>
      <c r="BF569" t="e">
        <f t="shared" ca="1" si="44"/>
        <v>#VALUE!</v>
      </c>
      <c r="BG569" t="e">
        <f t="shared" ca="1" si="45"/>
        <v>#VALUE!</v>
      </c>
    </row>
    <row r="570" spans="57:59" ht="12" customHeight="1" x14ac:dyDescent="0.2">
      <c r="BE570" s="19">
        <f t="shared" si="46"/>
        <v>0.5597222222222209</v>
      </c>
      <c r="BF570" t="e">
        <f t="shared" ca="1" si="44"/>
        <v>#VALUE!</v>
      </c>
      <c r="BG570" t="e">
        <f t="shared" ca="1" si="45"/>
        <v>#VALUE!</v>
      </c>
    </row>
    <row r="571" spans="57:59" ht="12" customHeight="1" x14ac:dyDescent="0.2">
      <c r="BE571" s="19">
        <f t="shared" si="46"/>
        <v>0.56041666666666534</v>
      </c>
      <c r="BF571" t="e">
        <f t="shared" ca="1" si="44"/>
        <v>#VALUE!</v>
      </c>
      <c r="BG571" t="e">
        <f t="shared" ca="1" si="45"/>
        <v>#VALUE!</v>
      </c>
    </row>
    <row r="572" spans="57:59" ht="12" customHeight="1" x14ac:dyDescent="0.2">
      <c r="BE572" s="19">
        <f t="shared" si="46"/>
        <v>0.56111111111110978</v>
      </c>
      <c r="BF572" t="e">
        <f t="shared" ca="1" si="44"/>
        <v>#VALUE!</v>
      </c>
      <c r="BG572" t="e">
        <f t="shared" ca="1" si="45"/>
        <v>#VALUE!</v>
      </c>
    </row>
    <row r="573" spans="57:59" ht="12" customHeight="1" x14ac:dyDescent="0.2">
      <c r="BE573" s="19">
        <f t="shared" si="46"/>
        <v>0.56180555555555423</v>
      </c>
      <c r="BF573" t="e">
        <f t="shared" ca="1" si="44"/>
        <v>#VALUE!</v>
      </c>
      <c r="BG573" t="e">
        <f t="shared" ca="1" si="45"/>
        <v>#VALUE!</v>
      </c>
    </row>
    <row r="574" spans="57:59" ht="12" customHeight="1" x14ac:dyDescent="0.2">
      <c r="BE574" s="19">
        <f t="shared" si="46"/>
        <v>0.56249999999999867</v>
      </c>
      <c r="BF574" t="e">
        <f t="shared" ca="1" si="44"/>
        <v>#VALUE!</v>
      </c>
      <c r="BG574" t="e">
        <f t="shared" ca="1" si="45"/>
        <v>#VALUE!</v>
      </c>
    </row>
    <row r="575" spans="57:59" ht="12" customHeight="1" x14ac:dyDescent="0.2">
      <c r="BE575" s="19">
        <f t="shared" si="46"/>
        <v>0.56319444444444311</v>
      </c>
      <c r="BF575" t="e">
        <f t="shared" ca="1" si="44"/>
        <v>#VALUE!</v>
      </c>
      <c r="BG575" t="e">
        <f t="shared" ca="1" si="45"/>
        <v>#VALUE!</v>
      </c>
    </row>
    <row r="576" spans="57:59" ht="12" customHeight="1" x14ac:dyDescent="0.2">
      <c r="BE576" s="19">
        <f t="shared" si="46"/>
        <v>0.56388888888888755</v>
      </c>
      <c r="BF576" t="e">
        <f t="shared" ca="1" si="44"/>
        <v>#VALUE!</v>
      </c>
      <c r="BG576" t="e">
        <f t="shared" ca="1" si="45"/>
        <v>#VALUE!</v>
      </c>
    </row>
    <row r="577" spans="57:59" ht="12" customHeight="1" x14ac:dyDescent="0.2">
      <c r="BE577" s="19">
        <f t="shared" si="46"/>
        <v>0.56458333333333199</v>
      </c>
      <c r="BF577" t="e">
        <f t="shared" ca="1" si="44"/>
        <v>#VALUE!</v>
      </c>
      <c r="BG577" t="e">
        <f t="shared" ca="1" si="45"/>
        <v>#VALUE!</v>
      </c>
    </row>
    <row r="578" spans="57:59" ht="12" customHeight="1" x14ac:dyDescent="0.2">
      <c r="BE578" s="19">
        <f t="shared" si="46"/>
        <v>0.56527777777777644</v>
      </c>
      <c r="BF578" t="e">
        <f t="shared" ca="1" si="44"/>
        <v>#VALUE!</v>
      </c>
      <c r="BG578" t="e">
        <f t="shared" ca="1" si="45"/>
        <v>#VALUE!</v>
      </c>
    </row>
    <row r="579" spans="57:59" ht="12" customHeight="1" x14ac:dyDescent="0.2">
      <c r="BE579" s="19">
        <f t="shared" si="46"/>
        <v>0.56597222222222088</v>
      </c>
      <c r="BF579" t="e">
        <f t="shared" ca="1" si="44"/>
        <v>#VALUE!</v>
      </c>
      <c r="BG579" t="e">
        <f t="shared" ca="1" si="45"/>
        <v>#VALUE!</v>
      </c>
    </row>
    <row r="580" spans="57:59" ht="12" customHeight="1" x14ac:dyDescent="0.2">
      <c r="BE580" s="19">
        <f t="shared" si="46"/>
        <v>0.56666666666666532</v>
      </c>
      <c r="BF580" t="e">
        <f t="shared" ref="BF580:BF643" ca="1" si="47">IF(BG580=0,AVERAGE(OFFSET(BH580,0,0,1,$A$1-1)),AVERAGE(BG580,OFFSET(BH580,0,0,1,$A$1-1)))</f>
        <v>#VALUE!</v>
      </c>
      <c r="BG580" t="e">
        <f t="shared" ca="1" si="45"/>
        <v>#VALUE!</v>
      </c>
    </row>
    <row r="581" spans="57:59" ht="12" customHeight="1" x14ac:dyDescent="0.2">
      <c r="BE581" s="19">
        <f t="shared" si="46"/>
        <v>0.56736111111110976</v>
      </c>
      <c r="BF581" t="e">
        <f t="shared" ca="1" si="47"/>
        <v>#VALUE!</v>
      </c>
      <c r="BG581" t="e">
        <f t="shared" ref="BG581:BG644" ca="1" si="48">IF(BE581&lt;$B$5-1/1440,0,OFFSET($AA$4,(BE581-$B$4)*1440,0,1,1))</f>
        <v>#VALUE!</v>
      </c>
    </row>
    <row r="582" spans="57:59" ht="12" customHeight="1" x14ac:dyDescent="0.2">
      <c r="BE582" s="19">
        <f t="shared" ref="BE582:BE645" si="49">BE581+1/1440</f>
        <v>0.5680555555555542</v>
      </c>
      <c r="BF582" t="e">
        <f t="shared" ca="1" si="47"/>
        <v>#VALUE!</v>
      </c>
      <c r="BG582" t="e">
        <f t="shared" ca="1" si="48"/>
        <v>#VALUE!</v>
      </c>
    </row>
    <row r="583" spans="57:59" ht="12" customHeight="1" x14ac:dyDescent="0.2">
      <c r="BE583" s="19">
        <f t="shared" si="49"/>
        <v>0.56874999999999865</v>
      </c>
      <c r="BF583" t="e">
        <f t="shared" ca="1" si="47"/>
        <v>#VALUE!</v>
      </c>
      <c r="BG583" t="e">
        <f t="shared" ca="1" si="48"/>
        <v>#VALUE!</v>
      </c>
    </row>
    <row r="584" spans="57:59" ht="12" customHeight="1" x14ac:dyDescent="0.2">
      <c r="BE584" s="19">
        <f t="shared" si="49"/>
        <v>0.56944444444444309</v>
      </c>
      <c r="BF584" t="e">
        <f t="shared" ca="1" si="47"/>
        <v>#VALUE!</v>
      </c>
      <c r="BG584" t="e">
        <f t="shared" ca="1" si="48"/>
        <v>#VALUE!</v>
      </c>
    </row>
    <row r="585" spans="57:59" ht="12" customHeight="1" x14ac:dyDescent="0.2">
      <c r="BE585" s="19">
        <f t="shared" si="49"/>
        <v>0.57013888888888753</v>
      </c>
      <c r="BF585" t="e">
        <f t="shared" ca="1" si="47"/>
        <v>#VALUE!</v>
      </c>
      <c r="BG585" t="e">
        <f t="shared" ca="1" si="48"/>
        <v>#VALUE!</v>
      </c>
    </row>
    <row r="586" spans="57:59" ht="12" customHeight="1" x14ac:dyDescent="0.2">
      <c r="BE586" s="19">
        <f t="shared" si="49"/>
        <v>0.57083333333333197</v>
      </c>
      <c r="BF586" t="e">
        <f t="shared" ca="1" si="47"/>
        <v>#VALUE!</v>
      </c>
      <c r="BG586" t="e">
        <f t="shared" ca="1" si="48"/>
        <v>#VALUE!</v>
      </c>
    </row>
    <row r="587" spans="57:59" ht="12" customHeight="1" x14ac:dyDescent="0.2">
      <c r="BE587" s="19">
        <f t="shared" si="49"/>
        <v>0.57152777777777641</v>
      </c>
      <c r="BF587" t="e">
        <f t="shared" ca="1" si="47"/>
        <v>#VALUE!</v>
      </c>
      <c r="BG587" t="e">
        <f t="shared" ca="1" si="48"/>
        <v>#VALUE!</v>
      </c>
    </row>
    <row r="588" spans="57:59" ht="12" customHeight="1" x14ac:dyDescent="0.2">
      <c r="BE588" s="19">
        <f t="shared" si="49"/>
        <v>0.57222222222222086</v>
      </c>
      <c r="BF588" t="e">
        <f t="shared" ca="1" si="47"/>
        <v>#VALUE!</v>
      </c>
      <c r="BG588" t="e">
        <f t="shared" ca="1" si="48"/>
        <v>#VALUE!</v>
      </c>
    </row>
    <row r="589" spans="57:59" ht="12" customHeight="1" x14ac:dyDescent="0.2">
      <c r="BE589" s="19">
        <f t="shared" si="49"/>
        <v>0.5729166666666653</v>
      </c>
      <c r="BF589" t="e">
        <f t="shared" ca="1" si="47"/>
        <v>#VALUE!</v>
      </c>
      <c r="BG589" t="e">
        <f t="shared" ca="1" si="48"/>
        <v>#VALUE!</v>
      </c>
    </row>
    <row r="590" spans="57:59" ht="12" customHeight="1" x14ac:dyDescent="0.2">
      <c r="BE590" s="19">
        <f t="shared" si="49"/>
        <v>0.57361111111110974</v>
      </c>
      <c r="BF590" t="e">
        <f t="shared" ca="1" si="47"/>
        <v>#VALUE!</v>
      </c>
      <c r="BG590" t="e">
        <f t="shared" ca="1" si="48"/>
        <v>#VALUE!</v>
      </c>
    </row>
    <row r="591" spans="57:59" ht="12" customHeight="1" x14ac:dyDescent="0.2">
      <c r="BE591" s="19">
        <f t="shared" si="49"/>
        <v>0.57430555555555418</v>
      </c>
      <c r="BF591" t="e">
        <f t="shared" ca="1" si="47"/>
        <v>#VALUE!</v>
      </c>
      <c r="BG591" t="e">
        <f t="shared" ca="1" si="48"/>
        <v>#VALUE!</v>
      </c>
    </row>
    <row r="592" spans="57:59" ht="12" customHeight="1" x14ac:dyDescent="0.2">
      <c r="BE592" s="19">
        <f t="shared" si="49"/>
        <v>0.57499999999999862</v>
      </c>
      <c r="BF592" t="e">
        <f t="shared" ca="1" si="47"/>
        <v>#VALUE!</v>
      </c>
      <c r="BG592" t="e">
        <f t="shared" ca="1" si="48"/>
        <v>#VALUE!</v>
      </c>
    </row>
    <row r="593" spans="57:59" ht="12" customHeight="1" x14ac:dyDescent="0.2">
      <c r="BE593" s="19">
        <f t="shared" si="49"/>
        <v>0.57569444444444307</v>
      </c>
      <c r="BF593" t="e">
        <f t="shared" ca="1" si="47"/>
        <v>#VALUE!</v>
      </c>
      <c r="BG593" t="e">
        <f t="shared" ca="1" si="48"/>
        <v>#VALUE!</v>
      </c>
    </row>
    <row r="594" spans="57:59" ht="12" customHeight="1" x14ac:dyDescent="0.2">
      <c r="BE594" s="19">
        <f t="shared" si="49"/>
        <v>0.57638888888888751</v>
      </c>
      <c r="BF594" t="e">
        <f t="shared" ca="1" si="47"/>
        <v>#VALUE!</v>
      </c>
      <c r="BG594" t="e">
        <f t="shared" ca="1" si="48"/>
        <v>#VALUE!</v>
      </c>
    </row>
    <row r="595" spans="57:59" ht="12" customHeight="1" x14ac:dyDescent="0.2">
      <c r="BE595" s="19">
        <f t="shared" si="49"/>
        <v>0.57708333333333195</v>
      </c>
      <c r="BF595" t="e">
        <f t="shared" ca="1" si="47"/>
        <v>#VALUE!</v>
      </c>
      <c r="BG595" t="e">
        <f t="shared" ca="1" si="48"/>
        <v>#VALUE!</v>
      </c>
    </row>
    <row r="596" spans="57:59" ht="12" customHeight="1" x14ac:dyDescent="0.2">
      <c r="BE596" s="19">
        <f t="shared" si="49"/>
        <v>0.57777777777777639</v>
      </c>
      <c r="BF596" t="e">
        <f t="shared" ca="1" si="47"/>
        <v>#VALUE!</v>
      </c>
      <c r="BG596" t="e">
        <f t="shared" ca="1" si="48"/>
        <v>#VALUE!</v>
      </c>
    </row>
    <row r="597" spans="57:59" ht="12" customHeight="1" x14ac:dyDescent="0.2">
      <c r="BE597" s="19">
        <f t="shared" si="49"/>
        <v>0.57847222222222083</v>
      </c>
      <c r="BF597" t="e">
        <f t="shared" ca="1" si="47"/>
        <v>#VALUE!</v>
      </c>
      <c r="BG597" t="e">
        <f t="shared" ca="1" si="48"/>
        <v>#VALUE!</v>
      </c>
    </row>
    <row r="598" spans="57:59" ht="12" customHeight="1" x14ac:dyDescent="0.2">
      <c r="BE598" s="19">
        <f t="shared" si="49"/>
        <v>0.57916666666666528</v>
      </c>
      <c r="BF598" t="e">
        <f t="shared" ca="1" si="47"/>
        <v>#VALUE!</v>
      </c>
      <c r="BG598" t="e">
        <f t="shared" ca="1" si="48"/>
        <v>#VALUE!</v>
      </c>
    </row>
    <row r="599" spans="57:59" ht="12" customHeight="1" x14ac:dyDescent="0.2">
      <c r="BE599" s="19">
        <f t="shared" si="49"/>
        <v>0.57986111111110972</v>
      </c>
      <c r="BF599" t="e">
        <f t="shared" ca="1" si="47"/>
        <v>#VALUE!</v>
      </c>
      <c r="BG599" t="e">
        <f t="shared" ca="1" si="48"/>
        <v>#VALUE!</v>
      </c>
    </row>
    <row r="600" spans="57:59" ht="12" customHeight="1" x14ac:dyDescent="0.2">
      <c r="BE600" s="19">
        <f t="shared" si="49"/>
        <v>0.58055555555555416</v>
      </c>
      <c r="BF600" t="e">
        <f t="shared" ca="1" si="47"/>
        <v>#VALUE!</v>
      </c>
      <c r="BG600" t="e">
        <f t="shared" ca="1" si="48"/>
        <v>#VALUE!</v>
      </c>
    </row>
    <row r="601" spans="57:59" ht="12" customHeight="1" x14ac:dyDescent="0.2">
      <c r="BE601" s="19">
        <f t="shared" si="49"/>
        <v>0.5812499999999986</v>
      </c>
      <c r="BF601" t="e">
        <f t="shared" ca="1" si="47"/>
        <v>#VALUE!</v>
      </c>
      <c r="BG601" t="e">
        <f t="shared" ca="1" si="48"/>
        <v>#VALUE!</v>
      </c>
    </row>
    <row r="602" spans="57:59" ht="12" customHeight="1" x14ac:dyDescent="0.2">
      <c r="BE602" s="19">
        <f t="shared" si="49"/>
        <v>0.58194444444444304</v>
      </c>
      <c r="BF602" t="e">
        <f t="shared" ca="1" si="47"/>
        <v>#VALUE!</v>
      </c>
      <c r="BG602" t="e">
        <f t="shared" ca="1" si="48"/>
        <v>#VALUE!</v>
      </c>
    </row>
    <row r="603" spans="57:59" ht="12" customHeight="1" x14ac:dyDescent="0.2">
      <c r="BE603" s="19">
        <f t="shared" si="49"/>
        <v>0.58263888888888749</v>
      </c>
      <c r="BF603" t="e">
        <f t="shared" ca="1" si="47"/>
        <v>#VALUE!</v>
      </c>
      <c r="BG603" t="e">
        <f t="shared" ca="1" si="48"/>
        <v>#VALUE!</v>
      </c>
    </row>
    <row r="604" spans="57:59" ht="12" customHeight="1" x14ac:dyDescent="0.2">
      <c r="BE604" s="19">
        <f t="shared" si="49"/>
        <v>0.58333333333333193</v>
      </c>
      <c r="BF604" t="e">
        <f t="shared" ca="1" si="47"/>
        <v>#VALUE!</v>
      </c>
      <c r="BG604" t="e">
        <f t="shared" ca="1" si="48"/>
        <v>#VALUE!</v>
      </c>
    </row>
    <row r="605" spans="57:59" ht="12" customHeight="1" x14ac:dyDescent="0.2">
      <c r="BE605" s="19">
        <f t="shared" si="49"/>
        <v>0.58402777777777637</v>
      </c>
      <c r="BF605" t="e">
        <f t="shared" ca="1" si="47"/>
        <v>#VALUE!</v>
      </c>
      <c r="BG605" t="e">
        <f t="shared" ca="1" si="48"/>
        <v>#VALUE!</v>
      </c>
    </row>
    <row r="606" spans="57:59" ht="12" customHeight="1" x14ac:dyDescent="0.2">
      <c r="BE606" s="19">
        <f t="shared" si="49"/>
        <v>0.58472222222222081</v>
      </c>
      <c r="BF606" t="e">
        <f t="shared" ca="1" si="47"/>
        <v>#VALUE!</v>
      </c>
      <c r="BG606" t="e">
        <f t="shared" ca="1" si="48"/>
        <v>#VALUE!</v>
      </c>
    </row>
    <row r="607" spans="57:59" ht="12" customHeight="1" x14ac:dyDescent="0.2">
      <c r="BE607" s="19">
        <f t="shared" si="49"/>
        <v>0.58541666666666525</v>
      </c>
      <c r="BF607" t="e">
        <f t="shared" ca="1" si="47"/>
        <v>#VALUE!</v>
      </c>
      <c r="BG607" t="e">
        <f t="shared" ca="1" si="48"/>
        <v>#VALUE!</v>
      </c>
    </row>
    <row r="608" spans="57:59" ht="12" customHeight="1" x14ac:dyDescent="0.2">
      <c r="BE608" s="19">
        <f t="shared" si="49"/>
        <v>0.58611111111110969</v>
      </c>
      <c r="BF608" t="e">
        <f t="shared" ca="1" si="47"/>
        <v>#VALUE!</v>
      </c>
      <c r="BG608" t="e">
        <f t="shared" ca="1" si="48"/>
        <v>#VALUE!</v>
      </c>
    </row>
    <row r="609" spans="57:59" ht="12" customHeight="1" x14ac:dyDescent="0.2">
      <c r="BE609" s="19">
        <f t="shared" si="49"/>
        <v>0.58680555555555414</v>
      </c>
      <c r="BF609" t="e">
        <f t="shared" ca="1" si="47"/>
        <v>#VALUE!</v>
      </c>
      <c r="BG609" t="e">
        <f t="shared" ca="1" si="48"/>
        <v>#VALUE!</v>
      </c>
    </row>
    <row r="610" spans="57:59" ht="12" customHeight="1" x14ac:dyDescent="0.2">
      <c r="BE610" s="19">
        <f t="shared" si="49"/>
        <v>0.58749999999999858</v>
      </c>
      <c r="BF610" t="e">
        <f t="shared" ca="1" si="47"/>
        <v>#VALUE!</v>
      </c>
      <c r="BG610" t="e">
        <f t="shared" ca="1" si="48"/>
        <v>#VALUE!</v>
      </c>
    </row>
    <row r="611" spans="57:59" ht="12" customHeight="1" x14ac:dyDescent="0.2">
      <c r="BE611" s="19">
        <f t="shared" si="49"/>
        <v>0.58819444444444302</v>
      </c>
      <c r="BF611" t="e">
        <f t="shared" ca="1" si="47"/>
        <v>#VALUE!</v>
      </c>
      <c r="BG611" t="e">
        <f t="shared" ca="1" si="48"/>
        <v>#VALUE!</v>
      </c>
    </row>
    <row r="612" spans="57:59" ht="12" customHeight="1" x14ac:dyDescent="0.2">
      <c r="BE612" s="19">
        <f t="shared" si="49"/>
        <v>0.58888888888888746</v>
      </c>
      <c r="BF612" t="e">
        <f t="shared" ca="1" si="47"/>
        <v>#VALUE!</v>
      </c>
      <c r="BG612" t="e">
        <f t="shared" ca="1" si="48"/>
        <v>#VALUE!</v>
      </c>
    </row>
    <row r="613" spans="57:59" ht="12" customHeight="1" x14ac:dyDescent="0.2">
      <c r="BE613" s="19">
        <f t="shared" si="49"/>
        <v>0.5895833333333319</v>
      </c>
      <c r="BF613" t="e">
        <f t="shared" ca="1" si="47"/>
        <v>#VALUE!</v>
      </c>
      <c r="BG613" t="e">
        <f t="shared" ca="1" si="48"/>
        <v>#VALUE!</v>
      </c>
    </row>
    <row r="614" spans="57:59" ht="12" customHeight="1" x14ac:dyDescent="0.2">
      <c r="BE614" s="19">
        <f t="shared" si="49"/>
        <v>0.59027777777777635</v>
      </c>
      <c r="BF614" t="e">
        <f t="shared" ca="1" si="47"/>
        <v>#VALUE!</v>
      </c>
      <c r="BG614" t="e">
        <f t="shared" ca="1" si="48"/>
        <v>#VALUE!</v>
      </c>
    </row>
    <row r="615" spans="57:59" ht="12" customHeight="1" x14ac:dyDescent="0.2">
      <c r="BE615" s="19">
        <f t="shared" si="49"/>
        <v>0.59097222222222079</v>
      </c>
      <c r="BF615" t="e">
        <f t="shared" ca="1" si="47"/>
        <v>#VALUE!</v>
      </c>
      <c r="BG615" t="e">
        <f t="shared" ca="1" si="48"/>
        <v>#VALUE!</v>
      </c>
    </row>
    <row r="616" spans="57:59" ht="12" customHeight="1" x14ac:dyDescent="0.2">
      <c r="BE616" s="19">
        <f t="shared" si="49"/>
        <v>0.59166666666666523</v>
      </c>
      <c r="BF616" t="e">
        <f t="shared" ca="1" si="47"/>
        <v>#VALUE!</v>
      </c>
      <c r="BG616" t="e">
        <f t="shared" ca="1" si="48"/>
        <v>#VALUE!</v>
      </c>
    </row>
    <row r="617" spans="57:59" ht="12" customHeight="1" x14ac:dyDescent="0.2">
      <c r="BE617" s="19">
        <f t="shared" si="49"/>
        <v>0.59236111111110967</v>
      </c>
      <c r="BF617" t="e">
        <f t="shared" ca="1" si="47"/>
        <v>#VALUE!</v>
      </c>
      <c r="BG617" t="e">
        <f t="shared" ca="1" si="48"/>
        <v>#VALUE!</v>
      </c>
    </row>
    <row r="618" spans="57:59" ht="12" customHeight="1" x14ac:dyDescent="0.2">
      <c r="BE618" s="19">
        <f t="shared" si="49"/>
        <v>0.59305555555555411</v>
      </c>
      <c r="BF618" t="e">
        <f t="shared" ca="1" si="47"/>
        <v>#VALUE!</v>
      </c>
      <c r="BG618" t="e">
        <f t="shared" ca="1" si="48"/>
        <v>#VALUE!</v>
      </c>
    </row>
    <row r="619" spans="57:59" ht="12" customHeight="1" x14ac:dyDescent="0.2">
      <c r="BE619" s="19">
        <f t="shared" si="49"/>
        <v>0.59374999999999856</v>
      </c>
      <c r="BF619" t="e">
        <f t="shared" ca="1" si="47"/>
        <v>#VALUE!</v>
      </c>
      <c r="BG619" t="e">
        <f t="shared" ca="1" si="48"/>
        <v>#VALUE!</v>
      </c>
    </row>
    <row r="620" spans="57:59" ht="12" customHeight="1" x14ac:dyDescent="0.2">
      <c r="BE620" s="19">
        <f t="shared" si="49"/>
        <v>0.594444444444443</v>
      </c>
      <c r="BF620" t="e">
        <f t="shared" ca="1" si="47"/>
        <v>#VALUE!</v>
      </c>
      <c r="BG620" t="e">
        <f t="shared" ca="1" si="48"/>
        <v>#VALUE!</v>
      </c>
    </row>
    <row r="621" spans="57:59" ht="12" customHeight="1" x14ac:dyDescent="0.2">
      <c r="BE621" s="19">
        <f t="shared" si="49"/>
        <v>0.59513888888888744</v>
      </c>
      <c r="BF621" t="e">
        <f t="shared" ca="1" si="47"/>
        <v>#VALUE!</v>
      </c>
      <c r="BG621" t="e">
        <f t="shared" ca="1" si="48"/>
        <v>#VALUE!</v>
      </c>
    </row>
    <row r="622" spans="57:59" ht="12" customHeight="1" x14ac:dyDescent="0.2">
      <c r="BE622" s="19">
        <f t="shared" si="49"/>
        <v>0.59583333333333188</v>
      </c>
      <c r="BF622" t="e">
        <f t="shared" ca="1" si="47"/>
        <v>#VALUE!</v>
      </c>
      <c r="BG622" t="e">
        <f t="shared" ca="1" si="48"/>
        <v>#VALUE!</v>
      </c>
    </row>
    <row r="623" spans="57:59" ht="12" customHeight="1" x14ac:dyDescent="0.2">
      <c r="BE623" s="19">
        <f t="shared" si="49"/>
        <v>0.59652777777777632</v>
      </c>
      <c r="BF623" t="e">
        <f t="shared" ca="1" si="47"/>
        <v>#VALUE!</v>
      </c>
      <c r="BG623" t="e">
        <f t="shared" ca="1" si="48"/>
        <v>#VALUE!</v>
      </c>
    </row>
    <row r="624" spans="57:59" ht="12" customHeight="1" x14ac:dyDescent="0.2">
      <c r="BE624" s="19">
        <f t="shared" si="49"/>
        <v>0.59722222222222077</v>
      </c>
      <c r="BF624" t="e">
        <f t="shared" ca="1" si="47"/>
        <v>#VALUE!</v>
      </c>
      <c r="BG624" t="e">
        <f t="shared" ca="1" si="48"/>
        <v>#VALUE!</v>
      </c>
    </row>
    <row r="625" spans="57:59" ht="12" customHeight="1" x14ac:dyDescent="0.2">
      <c r="BE625" s="19">
        <f t="shared" si="49"/>
        <v>0.59791666666666521</v>
      </c>
      <c r="BF625" t="e">
        <f t="shared" ca="1" si="47"/>
        <v>#VALUE!</v>
      </c>
      <c r="BG625" t="e">
        <f t="shared" ca="1" si="48"/>
        <v>#VALUE!</v>
      </c>
    </row>
    <row r="626" spans="57:59" ht="12" customHeight="1" x14ac:dyDescent="0.2">
      <c r="BE626" s="19">
        <f t="shared" si="49"/>
        <v>0.59861111111110965</v>
      </c>
      <c r="BF626" t="e">
        <f t="shared" ca="1" si="47"/>
        <v>#VALUE!</v>
      </c>
      <c r="BG626" t="e">
        <f t="shared" ca="1" si="48"/>
        <v>#VALUE!</v>
      </c>
    </row>
    <row r="627" spans="57:59" ht="12" customHeight="1" x14ac:dyDescent="0.2">
      <c r="BE627" s="19">
        <f t="shared" si="49"/>
        <v>0.59930555555555409</v>
      </c>
      <c r="BF627" t="e">
        <f t="shared" ca="1" si="47"/>
        <v>#VALUE!</v>
      </c>
      <c r="BG627" t="e">
        <f t="shared" ca="1" si="48"/>
        <v>#VALUE!</v>
      </c>
    </row>
    <row r="628" spans="57:59" ht="12" customHeight="1" x14ac:dyDescent="0.2">
      <c r="BE628" s="19">
        <f t="shared" si="49"/>
        <v>0.59999999999999853</v>
      </c>
      <c r="BF628" t="e">
        <f t="shared" ca="1" si="47"/>
        <v>#VALUE!</v>
      </c>
      <c r="BG628" t="e">
        <f t="shared" ca="1" si="48"/>
        <v>#VALUE!</v>
      </c>
    </row>
    <row r="629" spans="57:59" ht="12" customHeight="1" x14ac:dyDescent="0.2">
      <c r="BE629" s="19">
        <f t="shared" si="49"/>
        <v>0.60069444444444298</v>
      </c>
      <c r="BF629" t="e">
        <f t="shared" ca="1" si="47"/>
        <v>#VALUE!</v>
      </c>
      <c r="BG629" t="e">
        <f t="shared" ca="1" si="48"/>
        <v>#VALUE!</v>
      </c>
    </row>
    <row r="630" spans="57:59" ht="12" customHeight="1" x14ac:dyDescent="0.2">
      <c r="BE630" s="19">
        <f t="shared" si="49"/>
        <v>0.60138888888888742</v>
      </c>
      <c r="BF630" t="e">
        <f t="shared" ca="1" si="47"/>
        <v>#VALUE!</v>
      </c>
      <c r="BG630" t="e">
        <f t="shared" ca="1" si="48"/>
        <v>#VALUE!</v>
      </c>
    </row>
    <row r="631" spans="57:59" ht="12" customHeight="1" x14ac:dyDescent="0.2">
      <c r="BE631" s="19">
        <f t="shared" si="49"/>
        <v>0.60208333333333186</v>
      </c>
      <c r="BF631" t="e">
        <f t="shared" ca="1" si="47"/>
        <v>#VALUE!</v>
      </c>
      <c r="BG631" t="e">
        <f t="shared" ca="1" si="48"/>
        <v>#VALUE!</v>
      </c>
    </row>
    <row r="632" spans="57:59" ht="12" customHeight="1" x14ac:dyDescent="0.2">
      <c r="BE632" s="19">
        <f t="shared" si="49"/>
        <v>0.6027777777777763</v>
      </c>
      <c r="BF632" t="e">
        <f t="shared" ca="1" si="47"/>
        <v>#VALUE!</v>
      </c>
      <c r="BG632" t="e">
        <f t="shared" ca="1" si="48"/>
        <v>#VALUE!</v>
      </c>
    </row>
    <row r="633" spans="57:59" ht="12" customHeight="1" x14ac:dyDescent="0.2">
      <c r="BE633" s="19">
        <f t="shared" si="49"/>
        <v>0.60347222222222074</v>
      </c>
      <c r="BF633" t="e">
        <f t="shared" ca="1" si="47"/>
        <v>#VALUE!</v>
      </c>
      <c r="BG633" t="e">
        <f t="shared" ca="1" si="48"/>
        <v>#VALUE!</v>
      </c>
    </row>
    <row r="634" spans="57:59" ht="12" customHeight="1" x14ac:dyDescent="0.2">
      <c r="BE634" s="19">
        <f t="shared" si="49"/>
        <v>0.60416666666666519</v>
      </c>
      <c r="BF634" t="e">
        <f t="shared" ca="1" si="47"/>
        <v>#VALUE!</v>
      </c>
      <c r="BG634" t="e">
        <f t="shared" ca="1" si="48"/>
        <v>#VALUE!</v>
      </c>
    </row>
    <row r="635" spans="57:59" ht="12" customHeight="1" x14ac:dyDescent="0.2">
      <c r="BE635" s="19">
        <f t="shared" si="49"/>
        <v>0.60486111111110963</v>
      </c>
      <c r="BF635" t="e">
        <f t="shared" ca="1" si="47"/>
        <v>#VALUE!</v>
      </c>
      <c r="BG635" t="e">
        <f t="shared" ca="1" si="48"/>
        <v>#VALUE!</v>
      </c>
    </row>
    <row r="636" spans="57:59" ht="12" customHeight="1" x14ac:dyDescent="0.2">
      <c r="BE636" s="19">
        <f t="shared" si="49"/>
        <v>0.60555555555555407</v>
      </c>
      <c r="BF636" t="e">
        <f t="shared" ca="1" si="47"/>
        <v>#VALUE!</v>
      </c>
      <c r="BG636" t="e">
        <f t="shared" ca="1" si="48"/>
        <v>#VALUE!</v>
      </c>
    </row>
    <row r="637" spans="57:59" ht="12" customHeight="1" x14ac:dyDescent="0.2">
      <c r="BE637" s="19">
        <f t="shared" si="49"/>
        <v>0.60624999999999851</v>
      </c>
      <c r="BF637" t="e">
        <f t="shared" ca="1" si="47"/>
        <v>#VALUE!</v>
      </c>
      <c r="BG637" t="e">
        <f t="shared" ca="1" si="48"/>
        <v>#VALUE!</v>
      </c>
    </row>
    <row r="638" spans="57:59" ht="12" customHeight="1" x14ac:dyDescent="0.2">
      <c r="BE638" s="19">
        <f t="shared" si="49"/>
        <v>0.60694444444444295</v>
      </c>
      <c r="BF638" t="e">
        <f t="shared" ca="1" si="47"/>
        <v>#VALUE!</v>
      </c>
      <c r="BG638" t="e">
        <f t="shared" ca="1" si="48"/>
        <v>#VALUE!</v>
      </c>
    </row>
    <row r="639" spans="57:59" ht="12" customHeight="1" x14ac:dyDescent="0.2">
      <c r="BE639" s="19">
        <f t="shared" si="49"/>
        <v>0.6076388888888874</v>
      </c>
      <c r="BF639" t="e">
        <f t="shared" ca="1" si="47"/>
        <v>#VALUE!</v>
      </c>
      <c r="BG639" t="e">
        <f t="shared" ca="1" si="48"/>
        <v>#VALUE!</v>
      </c>
    </row>
    <row r="640" spans="57:59" ht="12" customHeight="1" x14ac:dyDescent="0.2">
      <c r="BE640" s="19">
        <f t="shared" si="49"/>
        <v>0.60833333333333184</v>
      </c>
      <c r="BF640" t="e">
        <f t="shared" ca="1" si="47"/>
        <v>#VALUE!</v>
      </c>
      <c r="BG640" t="e">
        <f t="shared" ca="1" si="48"/>
        <v>#VALUE!</v>
      </c>
    </row>
    <row r="641" spans="57:59" ht="12" customHeight="1" x14ac:dyDescent="0.2">
      <c r="BE641" s="19">
        <f t="shared" si="49"/>
        <v>0.60902777777777628</v>
      </c>
      <c r="BF641" t="e">
        <f t="shared" ca="1" si="47"/>
        <v>#VALUE!</v>
      </c>
      <c r="BG641" t="e">
        <f t="shared" ca="1" si="48"/>
        <v>#VALUE!</v>
      </c>
    </row>
    <row r="642" spans="57:59" ht="12" customHeight="1" x14ac:dyDescent="0.2">
      <c r="BE642" s="19">
        <f t="shared" si="49"/>
        <v>0.60972222222222072</v>
      </c>
      <c r="BF642" t="e">
        <f t="shared" ca="1" si="47"/>
        <v>#VALUE!</v>
      </c>
      <c r="BG642" t="e">
        <f t="shared" ca="1" si="48"/>
        <v>#VALUE!</v>
      </c>
    </row>
    <row r="643" spans="57:59" ht="12" customHeight="1" x14ac:dyDescent="0.2">
      <c r="BE643" s="19">
        <f t="shared" si="49"/>
        <v>0.61041666666666516</v>
      </c>
      <c r="BF643" t="e">
        <f t="shared" ca="1" si="47"/>
        <v>#VALUE!</v>
      </c>
      <c r="BG643" t="e">
        <f t="shared" ca="1" si="48"/>
        <v>#VALUE!</v>
      </c>
    </row>
    <row r="644" spans="57:59" ht="12" customHeight="1" x14ac:dyDescent="0.2">
      <c r="BE644" s="19">
        <f t="shared" si="49"/>
        <v>0.61111111111110961</v>
      </c>
      <c r="BF644" t="e">
        <f t="shared" ref="BF644:BF707" ca="1" si="50">IF(BG644=0,AVERAGE(OFFSET(BH644,0,0,1,$A$1-1)),AVERAGE(BG644,OFFSET(BH644,0,0,1,$A$1-1)))</f>
        <v>#VALUE!</v>
      </c>
      <c r="BG644" t="e">
        <f t="shared" ca="1" si="48"/>
        <v>#VALUE!</v>
      </c>
    </row>
    <row r="645" spans="57:59" ht="12" customHeight="1" x14ac:dyDescent="0.2">
      <c r="BE645" s="19">
        <f t="shared" si="49"/>
        <v>0.61180555555555405</v>
      </c>
      <c r="BF645" t="e">
        <f t="shared" ca="1" si="50"/>
        <v>#VALUE!</v>
      </c>
      <c r="BG645" t="e">
        <f t="shared" ref="BG645:BG708" ca="1" si="51">IF(BE645&lt;$B$5-1/1440,0,OFFSET($AA$4,(BE645-$B$4)*1440,0,1,1))</f>
        <v>#VALUE!</v>
      </c>
    </row>
    <row r="646" spans="57:59" ht="12" customHeight="1" x14ac:dyDescent="0.2">
      <c r="BE646" s="19">
        <f t="shared" ref="BE646:BE709" si="52">BE645+1/1440</f>
        <v>0.61249999999999849</v>
      </c>
      <c r="BF646" t="e">
        <f t="shared" ca="1" si="50"/>
        <v>#VALUE!</v>
      </c>
      <c r="BG646" t="e">
        <f t="shared" ca="1" si="51"/>
        <v>#VALUE!</v>
      </c>
    </row>
    <row r="647" spans="57:59" ht="12" customHeight="1" x14ac:dyDescent="0.2">
      <c r="BE647" s="19">
        <f t="shared" si="52"/>
        <v>0.61319444444444293</v>
      </c>
      <c r="BF647" t="e">
        <f t="shared" ca="1" si="50"/>
        <v>#VALUE!</v>
      </c>
      <c r="BG647" t="e">
        <f t="shared" ca="1" si="51"/>
        <v>#VALUE!</v>
      </c>
    </row>
    <row r="648" spans="57:59" ht="12" customHeight="1" x14ac:dyDescent="0.2">
      <c r="BE648" s="19">
        <f t="shared" si="52"/>
        <v>0.61388888888888737</v>
      </c>
      <c r="BF648" t="e">
        <f t="shared" ca="1" si="50"/>
        <v>#VALUE!</v>
      </c>
      <c r="BG648" t="e">
        <f t="shared" ca="1" si="51"/>
        <v>#VALUE!</v>
      </c>
    </row>
    <row r="649" spans="57:59" ht="12" customHeight="1" x14ac:dyDescent="0.2">
      <c r="BE649" s="19">
        <f t="shared" si="52"/>
        <v>0.61458333333333182</v>
      </c>
      <c r="BF649" t="e">
        <f t="shared" ca="1" si="50"/>
        <v>#VALUE!</v>
      </c>
      <c r="BG649" t="e">
        <f t="shared" ca="1" si="51"/>
        <v>#VALUE!</v>
      </c>
    </row>
    <row r="650" spans="57:59" ht="12" customHeight="1" x14ac:dyDescent="0.2">
      <c r="BE650" s="19">
        <f t="shared" si="52"/>
        <v>0.61527777777777626</v>
      </c>
      <c r="BF650" t="e">
        <f t="shared" ca="1" si="50"/>
        <v>#VALUE!</v>
      </c>
      <c r="BG650" t="e">
        <f t="shared" ca="1" si="51"/>
        <v>#VALUE!</v>
      </c>
    </row>
    <row r="651" spans="57:59" ht="12" customHeight="1" x14ac:dyDescent="0.2">
      <c r="BE651" s="19">
        <f t="shared" si="52"/>
        <v>0.6159722222222207</v>
      </c>
      <c r="BF651" t="e">
        <f t="shared" ca="1" si="50"/>
        <v>#VALUE!</v>
      </c>
      <c r="BG651" t="e">
        <f t="shared" ca="1" si="51"/>
        <v>#VALUE!</v>
      </c>
    </row>
    <row r="652" spans="57:59" ht="12" customHeight="1" x14ac:dyDescent="0.2">
      <c r="BE652" s="19">
        <f t="shared" si="52"/>
        <v>0.61666666666666514</v>
      </c>
      <c r="BF652" t="e">
        <f t="shared" ca="1" si="50"/>
        <v>#VALUE!</v>
      </c>
      <c r="BG652" t="e">
        <f t="shared" ca="1" si="51"/>
        <v>#VALUE!</v>
      </c>
    </row>
    <row r="653" spans="57:59" ht="12" customHeight="1" x14ac:dyDescent="0.2">
      <c r="BE653" s="19">
        <f t="shared" si="52"/>
        <v>0.61736111111110958</v>
      </c>
      <c r="BF653" t="e">
        <f t="shared" ca="1" si="50"/>
        <v>#VALUE!</v>
      </c>
      <c r="BG653" t="e">
        <f t="shared" ca="1" si="51"/>
        <v>#VALUE!</v>
      </c>
    </row>
    <row r="654" spans="57:59" ht="12" customHeight="1" x14ac:dyDescent="0.2">
      <c r="BE654" s="19">
        <f t="shared" si="52"/>
        <v>0.61805555555555403</v>
      </c>
      <c r="BF654" t="e">
        <f t="shared" ca="1" si="50"/>
        <v>#VALUE!</v>
      </c>
      <c r="BG654" t="e">
        <f t="shared" ca="1" si="51"/>
        <v>#VALUE!</v>
      </c>
    </row>
    <row r="655" spans="57:59" ht="12" customHeight="1" x14ac:dyDescent="0.2">
      <c r="BE655" s="19">
        <f t="shared" si="52"/>
        <v>0.61874999999999847</v>
      </c>
      <c r="BF655" t="e">
        <f t="shared" ca="1" si="50"/>
        <v>#VALUE!</v>
      </c>
      <c r="BG655" t="e">
        <f t="shared" ca="1" si="51"/>
        <v>#VALUE!</v>
      </c>
    </row>
    <row r="656" spans="57:59" ht="12" customHeight="1" x14ac:dyDescent="0.2">
      <c r="BE656" s="19">
        <f t="shared" si="52"/>
        <v>0.61944444444444291</v>
      </c>
      <c r="BF656" t="e">
        <f t="shared" ca="1" si="50"/>
        <v>#VALUE!</v>
      </c>
      <c r="BG656" t="e">
        <f t="shared" ca="1" si="51"/>
        <v>#VALUE!</v>
      </c>
    </row>
    <row r="657" spans="57:59" ht="12" customHeight="1" x14ac:dyDescent="0.2">
      <c r="BE657" s="19">
        <f t="shared" si="52"/>
        <v>0.62013888888888735</v>
      </c>
      <c r="BF657" t="e">
        <f t="shared" ca="1" si="50"/>
        <v>#VALUE!</v>
      </c>
      <c r="BG657" t="e">
        <f t="shared" ca="1" si="51"/>
        <v>#VALUE!</v>
      </c>
    </row>
    <row r="658" spans="57:59" ht="12" customHeight="1" x14ac:dyDescent="0.2">
      <c r="BE658" s="19">
        <f t="shared" si="52"/>
        <v>0.62083333333333179</v>
      </c>
      <c r="BF658" t="e">
        <f t="shared" ca="1" si="50"/>
        <v>#VALUE!</v>
      </c>
      <c r="BG658" t="e">
        <f t="shared" ca="1" si="51"/>
        <v>#VALUE!</v>
      </c>
    </row>
    <row r="659" spans="57:59" ht="12" customHeight="1" x14ac:dyDescent="0.2">
      <c r="BE659" s="19">
        <f t="shared" si="52"/>
        <v>0.62152777777777624</v>
      </c>
      <c r="BF659" t="e">
        <f t="shared" ca="1" si="50"/>
        <v>#VALUE!</v>
      </c>
      <c r="BG659" t="e">
        <f t="shared" ca="1" si="51"/>
        <v>#VALUE!</v>
      </c>
    </row>
    <row r="660" spans="57:59" ht="12" customHeight="1" x14ac:dyDescent="0.2">
      <c r="BE660" s="19">
        <f t="shared" si="52"/>
        <v>0.62222222222222068</v>
      </c>
      <c r="BF660" t="e">
        <f t="shared" ca="1" si="50"/>
        <v>#VALUE!</v>
      </c>
      <c r="BG660" t="e">
        <f t="shared" ca="1" si="51"/>
        <v>#VALUE!</v>
      </c>
    </row>
    <row r="661" spans="57:59" ht="12" customHeight="1" x14ac:dyDescent="0.2">
      <c r="BE661" s="19">
        <f t="shared" si="52"/>
        <v>0.62291666666666512</v>
      </c>
      <c r="BF661" t="e">
        <f t="shared" ca="1" si="50"/>
        <v>#VALUE!</v>
      </c>
      <c r="BG661" t="e">
        <f t="shared" ca="1" si="51"/>
        <v>#VALUE!</v>
      </c>
    </row>
    <row r="662" spans="57:59" ht="12" customHeight="1" x14ac:dyDescent="0.2">
      <c r="BE662" s="19">
        <f t="shared" si="52"/>
        <v>0.62361111111110956</v>
      </c>
      <c r="BF662" t="e">
        <f t="shared" ca="1" si="50"/>
        <v>#VALUE!</v>
      </c>
      <c r="BG662" t="e">
        <f t="shared" ca="1" si="51"/>
        <v>#VALUE!</v>
      </c>
    </row>
    <row r="663" spans="57:59" ht="12" customHeight="1" x14ac:dyDescent="0.2">
      <c r="BE663" s="19">
        <f t="shared" si="52"/>
        <v>0.624305555555554</v>
      </c>
      <c r="BF663" t="e">
        <f t="shared" ca="1" si="50"/>
        <v>#VALUE!</v>
      </c>
      <c r="BG663" t="e">
        <f t="shared" ca="1" si="51"/>
        <v>#VALUE!</v>
      </c>
    </row>
    <row r="664" spans="57:59" ht="12" customHeight="1" x14ac:dyDescent="0.2">
      <c r="BE664" s="19">
        <f t="shared" si="52"/>
        <v>0.62499999999999845</v>
      </c>
      <c r="BF664" t="e">
        <f t="shared" ca="1" si="50"/>
        <v>#VALUE!</v>
      </c>
      <c r="BG664" t="e">
        <f t="shared" ca="1" si="51"/>
        <v>#VALUE!</v>
      </c>
    </row>
    <row r="665" spans="57:59" ht="12" customHeight="1" x14ac:dyDescent="0.2">
      <c r="BE665" s="19">
        <f t="shared" si="52"/>
        <v>0.62569444444444289</v>
      </c>
      <c r="BF665" t="e">
        <f t="shared" ca="1" si="50"/>
        <v>#VALUE!</v>
      </c>
      <c r="BG665" t="e">
        <f t="shared" ca="1" si="51"/>
        <v>#VALUE!</v>
      </c>
    </row>
    <row r="666" spans="57:59" ht="12" customHeight="1" x14ac:dyDescent="0.2">
      <c r="BE666" s="19">
        <f t="shared" si="52"/>
        <v>0.62638888888888733</v>
      </c>
      <c r="BF666" t="e">
        <f t="shared" ca="1" si="50"/>
        <v>#VALUE!</v>
      </c>
      <c r="BG666" t="e">
        <f t="shared" ca="1" si="51"/>
        <v>#VALUE!</v>
      </c>
    </row>
    <row r="667" spans="57:59" ht="12" customHeight="1" x14ac:dyDescent="0.2">
      <c r="BE667" s="19">
        <f t="shared" si="52"/>
        <v>0.62708333333333177</v>
      </c>
      <c r="BF667" t="e">
        <f t="shared" ca="1" si="50"/>
        <v>#VALUE!</v>
      </c>
      <c r="BG667" t="e">
        <f t="shared" ca="1" si="51"/>
        <v>#VALUE!</v>
      </c>
    </row>
    <row r="668" spans="57:59" ht="12" customHeight="1" x14ac:dyDescent="0.2">
      <c r="BE668" s="19">
        <f t="shared" si="52"/>
        <v>0.62777777777777621</v>
      </c>
      <c r="BF668" t="e">
        <f t="shared" ca="1" si="50"/>
        <v>#VALUE!</v>
      </c>
      <c r="BG668" t="e">
        <f t="shared" ca="1" si="51"/>
        <v>#VALUE!</v>
      </c>
    </row>
    <row r="669" spans="57:59" ht="12" customHeight="1" x14ac:dyDescent="0.2">
      <c r="BE669" s="19">
        <f t="shared" si="52"/>
        <v>0.62847222222222066</v>
      </c>
      <c r="BF669" t="e">
        <f t="shared" ca="1" si="50"/>
        <v>#VALUE!</v>
      </c>
      <c r="BG669" t="e">
        <f t="shared" ca="1" si="51"/>
        <v>#VALUE!</v>
      </c>
    </row>
    <row r="670" spans="57:59" ht="12" customHeight="1" x14ac:dyDescent="0.2">
      <c r="BE670" s="19">
        <f t="shared" si="52"/>
        <v>0.6291666666666651</v>
      </c>
      <c r="BF670" t="e">
        <f t="shared" ca="1" si="50"/>
        <v>#VALUE!</v>
      </c>
      <c r="BG670" t="e">
        <f t="shared" ca="1" si="51"/>
        <v>#VALUE!</v>
      </c>
    </row>
    <row r="671" spans="57:59" ht="12" customHeight="1" x14ac:dyDescent="0.2">
      <c r="BE671" s="19">
        <f t="shared" si="52"/>
        <v>0.62986111111110954</v>
      </c>
      <c r="BF671" t="e">
        <f t="shared" ca="1" si="50"/>
        <v>#VALUE!</v>
      </c>
      <c r="BG671" t="e">
        <f t="shared" ca="1" si="51"/>
        <v>#VALUE!</v>
      </c>
    </row>
    <row r="672" spans="57:59" ht="12" customHeight="1" x14ac:dyDescent="0.2">
      <c r="BE672" s="19">
        <f t="shared" si="52"/>
        <v>0.63055555555555398</v>
      </c>
      <c r="BF672" t="e">
        <f t="shared" ca="1" si="50"/>
        <v>#VALUE!</v>
      </c>
      <c r="BG672" t="e">
        <f t="shared" ca="1" si="51"/>
        <v>#VALUE!</v>
      </c>
    </row>
    <row r="673" spans="57:59" ht="12" customHeight="1" x14ac:dyDescent="0.2">
      <c r="BE673" s="19">
        <f t="shared" si="52"/>
        <v>0.63124999999999842</v>
      </c>
      <c r="BF673" t="e">
        <f t="shared" ca="1" si="50"/>
        <v>#VALUE!</v>
      </c>
      <c r="BG673" t="e">
        <f t="shared" ca="1" si="51"/>
        <v>#VALUE!</v>
      </c>
    </row>
    <row r="674" spans="57:59" ht="12" customHeight="1" x14ac:dyDescent="0.2">
      <c r="BE674" s="19">
        <f t="shared" si="52"/>
        <v>0.63194444444444287</v>
      </c>
      <c r="BF674" t="e">
        <f t="shared" ca="1" si="50"/>
        <v>#VALUE!</v>
      </c>
      <c r="BG674" t="e">
        <f t="shared" ca="1" si="51"/>
        <v>#VALUE!</v>
      </c>
    </row>
    <row r="675" spans="57:59" ht="12" customHeight="1" x14ac:dyDescent="0.2">
      <c r="BE675" s="19">
        <f t="shared" si="52"/>
        <v>0.63263888888888731</v>
      </c>
      <c r="BF675" t="e">
        <f t="shared" ca="1" si="50"/>
        <v>#VALUE!</v>
      </c>
      <c r="BG675" t="e">
        <f t="shared" ca="1" si="51"/>
        <v>#VALUE!</v>
      </c>
    </row>
    <row r="676" spans="57:59" ht="12" customHeight="1" x14ac:dyDescent="0.2">
      <c r="BE676" s="19">
        <f t="shared" si="52"/>
        <v>0.63333333333333175</v>
      </c>
      <c r="BF676" t="e">
        <f t="shared" ca="1" si="50"/>
        <v>#VALUE!</v>
      </c>
      <c r="BG676" t="e">
        <f t="shared" ca="1" si="51"/>
        <v>#VALUE!</v>
      </c>
    </row>
    <row r="677" spans="57:59" ht="12" customHeight="1" x14ac:dyDescent="0.2">
      <c r="BE677" s="19">
        <f t="shared" si="52"/>
        <v>0.63402777777777619</v>
      </c>
      <c r="BF677" t="e">
        <f t="shared" ca="1" si="50"/>
        <v>#VALUE!</v>
      </c>
      <c r="BG677" t="e">
        <f t="shared" ca="1" si="51"/>
        <v>#VALUE!</v>
      </c>
    </row>
    <row r="678" spans="57:59" ht="12" customHeight="1" x14ac:dyDescent="0.2">
      <c r="BE678" s="19">
        <f t="shared" si="52"/>
        <v>0.63472222222222063</v>
      </c>
      <c r="BF678" t="e">
        <f t="shared" ca="1" si="50"/>
        <v>#VALUE!</v>
      </c>
      <c r="BG678" t="e">
        <f t="shared" ca="1" si="51"/>
        <v>#VALUE!</v>
      </c>
    </row>
    <row r="679" spans="57:59" ht="12" customHeight="1" x14ac:dyDescent="0.2">
      <c r="BE679" s="19">
        <f t="shared" si="52"/>
        <v>0.63541666666666508</v>
      </c>
      <c r="BF679" t="e">
        <f t="shared" ca="1" si="50"/>
        <v>#VALUE!</v>
      </c>
      <c r="BG679" t="e">
        <f t="shared" ca="1" si="51"/>
        <v>#VALUE!</v>
      </c>
    </row>
    <row r="680" spans="57:59" ht="12" customHeight="1" x14ac:dyDescent="0.2">
      <c r="BE680" s="19">
        <f t="shared" si="52"/>
        <v>0.63611111111110952</v>
      </c>
      <c r="BF680" t="e">
        <f t="shared" ca="1" si="50"/>
        <v>#VALUE!</v>
      </c>
      <c r="BG680" t="e">
        <f t="shared" ca="1" si="51"/>
        <v>#VALUE!</v>
      </c>
    </row>
    <row r="681" spans="57:59" ht="12" customHeight="1" x14ac:dyDescent="0.2">
      <c r="BE681" s="19">
        <f t="shared" si="52"/>
        <v>0.63680555555555396</v>
      </c>
      <c r="BF681" t="e">
        <f t="shared" ca="1" si="50"/>
        <v>#VALUE!</v>
      </c>
      <c r="BG681" t="e">
        <f t="shared" ca="1" si="51"/>
        <v>#VALUE!</v>
      </c>
    </row>
    <row r="682" spans="57:59" ht="12" customHeight="1" x14ac:dyDescent="0.2">
      <c r="BE682" s="19">
        <f t="shared" si="52"/>
        <v>0.6374999999999984</v>
      </c>
      <c r="BF682" t="e">
        <f t="shared" ca="1" si="50"/>
        <v>#VALUE!</v>
      </c>
      <c r="BG682" t="e">
        <f t="shared" ca="1" si="51"/>
        <v>#VALUE!</v>
      </c>
    </row>
    <row r="683" spans="57:59" ht="12" customHeight="1" x14ac:dyDescent="0.2">
      <c r="BE683" s="19">
        <f t="shared" si="52"/>
        <v>0.63819444444444284</v>
      </c>
      <c r="BF683" t="e">
        <f t="shared" ca="1" si="50"/>
        <v>#VALUE!</v>
      </c>
      <c r="BG683" t="e">
        <f t="shared" ca="1" si="51"/>
        <v>#VALUE!</v>
      </c>
    </row>
    <row r="684" spans="57:59" ht="12" customHeight="1" x14ac:dyDescent="0.2">
      <c r="BE684" s="19">
        <f t="shared" si="52"/>
        <v>0.63888888888888729</v>
      </c>
      <c r="BF684" t="e">
        <f t="shared" ca="1" si="50"/>
        <v>#VALUE!</v>
      </c>
      <c r="BG684" t="e">
        <f t="shared" ca="1" si="51"/>
        <v>#VALUE!</v>
      </c>
    </row>
    <row r="685" spans="57:59" ht="12" customHeight="1" x14ac:dyDescent="0.2">
      <c r="BE685" s="19">
        <f t="shared" si="52"/>
        <v>0.63958333333333173</v>
      </c>
      <c r="BF685" t="e">
        <f t="shared" ca="1" si="50"/>
        <v>#VALUE!</v>
      </c>
      <c r="BG685" t="e">
        <f t="shared" ca="1" si="51"/>
        <v>#VALUE!</v>
      </c>
    </row>
    <row r="686" spans="57:59" ht="12" customHeight="1" x14ac:dyDescent="0.2">
      <c r="BE686" s="19">
        <f t="shared" si="52"/>
        <v>0.64027777777777617</v>
      </c>
      <c r="BF686" t="e">
        <f t="shared" ca="1" si="50"/>
        <v>#VALUE!</v>
      </c>
      <c r="BG686" t="e">
        <f t="shared" ca="1" si="51"/>
        <v>#VALUE!</v>
      </c>
    </row>
    <row r="687" spans="57:59" ht="12" customHeight="1" x14ac:dyDescent="0.2">
      <c r="BE687" s="19">
        <f t="shared" si="52"/>
        <v>0.64097222222222061</v>
      </c>
      <c r="BF687" t="e">
        <f t="shared" ca="1" si="50"/>
        <v>#VALUE!</v>
      </c>
      <c r="BG687" t="e">
        <f t="shared" ca="1" si="51"/>
        <v>#VALUE!</v>
      </c>
    </row>
    <row r="688" spans="57:59" ht="12" customHeight="1" x14ac:dyDescent="0.2">
      <c r="BE688" s="19">
        <f t="shared" si="52"/>
        <v>0.64166666666666505</v>
      </c>
      <c r="BF688" t="e">
        <f t="shared" ca="1" si="50"/>
        <v>#VALUE!</v>
      </c>
      <c r="BG688" t="e">
        <f t="shared" ca="1" si="51"/>
        <v>#VALUE!</v>
      </c>
    </row>
    <row r="689" spans="57:59" ht="12" customHeight="1" x14ac:dyDescent="0.2">
      <c r="BE689" s="19">
        <f t="shared" si="52"/>
        <v>0.6423611111111095</v>
      </c>
      <c r="BF689" t="e">
        <f t="shared" ca="1" si="50"/>
        <v>#VALUE!</v>
      </c>
      <c r="BG689" t="e">
        <f t="shared" ca="1" si="51"/>
        <v>#VALUE!</v>
      </c>
    </row>
    <row r="690" spans="57:59" ht="12" customHeight="1" x14ac:dyDescent="0.2">
      <c r="BE690" s="19">
        <f t="shared" si="52"/>
        <v>0.64305555555555394</v>
      </c>
      <c r="BF690" t="e">
        <f t="shared" ca="1" si="50"/>
        <v>#VALUE!</v>
      </c>
      <c r="BG690" t="e">
        <f t="shared" ca="1" si="51"/>
        <v>#VALUE!</v>
      </c>
    </row>
    <row r="691" spans="57:59" ht="12" customHeight="1" x14ac:dyDescent="0.2">
      <c r="BE691" s="19">
        <f t="shared" si="52"/>
        <v>0.64374999999999838</v>
      </c>
      <c r="BF691" t="e">
        <f t="shared" ca="1" si="50"/>
        <v>#VALUE!</v>
      </c>
      <c r="BG691" t="e">
        <f t="shared" ca="1" si="51"/>
        <v>#VALUE!</v>
      </c>
    </row>
    <row r="692" spans="57:59" ht="12" customHeight="1" x14ac:dyDescent="0.2">
      <c r="BE692" s="19">
        <f t="shared" si="52"/>
        <v>0.64444444444444282</v>
      </c>
      <c r="BF692" t="e">
        <f t="shared" ca="1" si="50"/>
        <v>#VALUE!</v>
      </c>
      <c r="BG692" t="e">
        <f t="shared" ca="1" si="51"/>
        <v>#VALUE!</v>
      </c>
    </row>
    <row r="693" spans="57:59" ht="12" customHeight="1" x14ac:dyDescent="0.2">
      <c r="BE693" s="19">
        <f t="shared" si="52"/>
        <v>0.64513888888888726</v>
      </c>
      <c r="BF693" t="e">
        <f t="shared" ca="1" si="50"/>
        <v>#VALUE!</v>
      </c>
      <c r="BG693" t="e">
        <f t="shared" ca="1" si="51"/>
        <v>#VALUE!</v>
      </c>
    </row>
    <row r="694" spans="57:59" ht="12" customHeight="1" x14ac:dyDescent="0.2">
      <c r="BE694" s="19">
        <f t="shared" si="52"/>
        <v>0.64583333333333171</v>
      </c>
      <c r="BF694" t="e">
        <f t="shared" ca="1" si="50"/>
        <v>#VALUE!</v>
      </c>
      <c r="BG694" t="e">
        <f t="shared" ca="1" si="51"/>
        <v>#VALUE!</v>
      </c>
    </row>
    <row r="695" spans="57:59" ht="12" customHeight="1" x14ac:dyDescent="0.2">
      <c r="BE695" s="19">
        <f t="shared" si="52"/>
        <v>0.64652777777777615</v>
      </c>
      <c r="BF695" t="e">
        <f t="shared" ca="1" si="50"/>
        <v>#VALUE!</v>
      </c>
      <c r="BG695" t="e">
        <f t="shared" ca="1" si="51"/>
        <v>#VALUE!</v>
      </c>
    </row>
    <row r="696" spans="57:59" ht="12" customHeight="1" x14ac:dyDescent="0.2">
      <c r="BE696" s="19">
        <f t="shared" si="52"/>
        <v>0.64722222222222059</v>
      </c>
      <c r="BF696" t="e">
        <f t="shared" ca="1" si="50"/>
        <v>#VALUE!</v>
      </c>
      <c r="BG696" t="e">
        <f t="shared" ca="1" si="51"/>
        <v>#VALUE!</v>
      </c>
    </row>
    <row r="697" spans="57:59" ht="12" customHeight="1" x14ac:dyDescent="0.2">
      <c r="BE697" s="19">
        <f t="shared" si="52"/>
        <v>0.64791666666666503</v>
      </c>
      <c r="BF697" t="e">
        <f t="shared" ca="1" si="50"/>
        <v>#VALUE!</v>
      </c>
      <c r="BG697" t="e">
        <f t="shared" ca="1" si="51"/>
        <v>#VALUE!</v>
      </c>
    </row>
    <row r="698" spans="57:59" ht="12" customHeight="1" x14ac:dyDescent="0.2">
      <c r="BE698" s="19">
        <f t="shared" si="52"/>
        <v>0.64861111111110947</v>
      </c>
      <c r="BF698" t="e">
        <f t="shared" ca="1" si="50"/>
        <v>#VALUE!</v>
      </c>
      <c r="BG698" t="e">
        <f t="shared" ca="1" si="51"/>
        <v>#VALUE!</v>
      </c>
    </row>
    <row r="699" spans="57:59" ht="12" customHeight="1" x14ac:dyDescent="0.2">
      <c r="BE699" s="19">
        <f t="shared" si="52"/>
        <v>0.64930555555555391</v>
      </c>
      <c r="BF699" t="e">
        <f t="shared" ca="1" si="50"/>
        <v>#VALUE!</v>
      </c>
      <c r="BG699" t="e">
        <f t="shared" ca="1" si="51"/>
        <v>#VALUE!</v>
      </c>
    </row>
    <row r="700" spans="57:59" ht="12" customHeight="1" x14ac:dyDescent="0.2">
      <c r="BE700" s="19">
        <f t="shared" si="52"/>
        <v>0.64999999999999836</v>
      </c>
      <c r="BF700" t="e">
        <f t="shared" ca="1" si="50"/>
        <v>#VALUE!</v>
      </c>
      <c r="BG700" t="e">
        <f t="shared" ca="1" si="51"/>
        <v>#VALUE!</v>
      </c>
    </row>
    <row r="701" spans="57:59" ht="12" customHeight="1" x14ac:dyDescent="0.2">
      <c r="BE701" s="19">
        <f t="shared" si="52"/>
        <v>0.6506944444444428</v>
      </c>
      <c r="BF701" t="e">
        <f t="shared" ca="1" si="50"/>
        <v>#VALUE!</v>
      </c>
      <c r="BG701" t="e">
        <f t="shared" ca="1" si="51"/>
        <v>#VALUE!</v>
      </c>
    </row>
    <row r="702" spans="57:59" ht="12" customHeight="1" x14ac:dyDescent="0.2">
      <c r="BE702" s="19">
        <f t="shared" si="52"/>
        <v>0.65138888888888724</v>
      </c>
      <c r="BF702" t="e">
        <f t="shared" ca="1" si="50"/>
        <v>#VALUE!</v>
      </c>
      <c r="BG702" t="e">
        <f t="shared" ca="1" si="51"/>
        <v>#VALUE!</v>
      </c>
    </row>
    <row r="703" spans="57:59" ht="12" customHeight="1" x14ac:dyDescent="0.2">
      <c r="BE703" s="19">
        <f t="shared" si="52"/>
        <v>0.65208333333333168</v>
      </c>
      <c r="BF703" t="e">
        <f t="shared" ca="1" si="50"/>
        <v>#VALUE!</v>
      </c>
      <c r="BG703" t="e">
        <f t="shared" ca="1" si="51"/>
        <v>#VALUE!</v>
      </c>
    </row>
    <row r="704" spans="57:59" ht="12" customHeight="1" x14ac:dyDescent="0.2">
      <c r="BE704" s="19">
        <f t="shared" si="52"/>
        <v>0.65277777777777612</v>
      </c>
      <c r="BF704" t="e">
        <f t="shared" ca="1" si="50"/>
        <v>#VALUE!</v>
      </c>
      <c r="BG704" t="e">
        <f t="shared" ca="1" si="51"/>
        <v>#VALUE!</v>
      </c>
    </row>
    <row r="705" spans="57:59" ht="12" customHeight="1" x14ac:dyDescent="0.2">
      <c r="BE705" s="19">
        <f t="shared" si="52"/>
        <v>0.65347222222222057</v>
      </c>
      <c r="BF705" t="e">
        <f t="shared" ca="1" si="50"/>
        <v>#VALUE!</v>
      </c>
      <c r="BG705" t="e">
        <f t="shared" ca="1" si="51"/>
        <v>#VALUE!</v>
      </c>
    </row>
    <row r="706" spans="57:59" ht="12" customHeight="1" x14ac:dyDescent="0.2">
      <c r="BE706" s="19">
        <f t="shared" si="52"/>
        <v>0.65416666666666501</v>
      </c>
      <c r="BF706" t="e">
        <f t="shared" ca="1" si="50"/>
        <v>#VALUE!</v>
      </c>
      <c r="BG706" t="e">
        <f t="shared" ca="1" si="51"/>
        <v>#VALUE!</v>
      </c>
    </row>
    <row r="707" spans="57:59" ht="12" customHeight="1" x14ac:dyDescent="0.2">
      <c r="BE707" s="19">
        <f t="shared" si="52"/>
        <v>0.65486111111110945</v>
      </c>
      <c r="BF707" t="e">
        <f t="shared" ca="1" si="50"/>
        <v>#VALUE!</v>
      </c>
      <c r="BG707" t="e">
        <f t="shared" ca="1" si="51"/>
        <v>#VALUE!</v>
      </c>
    </row>
    <row r="708" spans="57:59" ht="12" customHeight="1" x14ac:dyDescent="0.2">
      <c r="BE708" s="19">
        <f t="shared" si="52"/>
        <v>0.65555555555555389</v>
      </c>
      <c r="BF708" t="e">
        <f t="shared" ref="BF708:BF771" ca="1" si="53">IF(BG708=0,AVERAGE(OFFSET(BH708,0,0,1,$A$1-1)),AVERAGE(BG708,OFFSET(BH708,0,0,1,$A$1-1)))</f>
        <v>#VALUE!</v>
      </c>
      <c r="BG708" t="e">
        <f t="shared" ca="1" si="51"/>
        <v>#VALUE!</v>
      </c>
    </row>
    <row r="709" spans="57:59" ht="12" customHeight="1" x14ac:dyDescent="0.2">
      <c r="BE709" s="19">
        <f t="shared" si="52"/>
        <v>0.65624999999999833</v>
      </c>
      <c r="BF709" t="e">
        <f t="shared" ca="1" si="53"/>
        <v>#VALUE!</v>
      </c>
      <c r="BG709" t="e">
        <f t="shared" ref="BG709:BG772" ca="1" si="54">IF(BE709&lt;$B$5-1/1440,0,OFFSET($AA$4,(BE709-$B$4)*1440,0,1,1))</f>
        <v>#VALUE!</v>
      </c>
    </row>
    <row r="710" spans="57:59" ht="12" customHeight="1" x14ac:dyDescent="0.2">
      <c r="BE710" s="19">
        <f t="shared" ref="BE710:BE773" si="55">BE709+1/1440</f>
        <v>0.65694444444444278</v>
      </c>
      <c r="BF710" t="e">
        <f t="shared" ca="1" si="53"/>
        <v>#VALUE!</v>
      </c>
      <c r="BG710" t="e">
        <f t="shared" ca="1" si="54"/>
        <v>#VALUE!</v>
      </c>
    </row>
    <row r="711" spans="57:59" ht="12" customHeight="1" x14ac:dyDescent="0.2">
      <c r="BE711" s="19">
        <f t="shared" si="55"/>
        <v>0.65763888888888722</v>
      </c>
      <c r="BF711" t="e">
        <f t="shared" ca="1" si="53"/>
        <v>#VALUE!</v>
      </c>
      <c r="BG711" t="e">
        <f t="shared" ca="1" si="54"/>
        <v>#VALUE!</v>
      </c>
    </row>
    <row r="712" spans="57:59" ht="12" customHeight="1" x14ac:dyDescent="0.2">
      <c r="BE712" s="19">
        <f t="shared" si="55"/>
        <v>0.65833333333333166</v>
      </c>
      <c r="BF712" t="e">
        <f t="shared" ca="1" si="53"/>
        <v>#VALUE!</v>
      </c>
      <c r="BG712" t="e">
        <f t="shared" ca="1" si="54"/>
        <v>#VALUE!</v>
      </c>
    </row>
    <row r="713" spans="57:59" ht="12" customHeight="1" x14ac:dyDescent="0.2">
      <c r="BE713" s="19">
        <f t="shared" si="55"/>
        <v>0.6590277777777761</v>
      </c>
      <c r="BF713" t="e">
        <f t="shared" ca="1" si="53"/>
        <v>#VALUE!</v>
      </c>
      <c r="BG713" t="e">
        <f t="shared" ca="1" si="54"/>
        <v>#VALUE!</v>
      </c>
    </row>
    <row r="714" spans="57:59" ht="12" customHeight="1" x14ac:dyDescent="0.2">
      <c r="BE714" s="19">
        <f t="shared" si="55"/>
        <v>0.65972222222222054</v>
      </c>
      <c r="BF714" t="e">
        <f t="shared" ca="1" si="53"/>
        <v>#VALUE!</v>
      </c>
      <c r="BG714" t="e">
        <f t="shared" ca="1" si="54"/>
        <v>#VALUE!</v>
      </c>
    </row>
    <row r="715" spans="57:59" ht="12" customHeight="1" x14ac:dyDescent="0.2">
      <c r="BE715" s="19">
        <f t="shared" si="55"/>
        <v>0.66041666666666499</v>
      </c>
      <c r="BF715" t="e">
        <f t="shared" ca="1" si="53"/>
        <v>#VALUE!</v>
      </c>
      <c r="BG715" t="e">
        <f t="shared" ca="1" si="54"/>
        <v>#VALUE!</v>
      </c>
    </row>
    <row r="716" spans="57:59" ht="12" customHeight="1" x14ac:dyDescent="0.2">
      <c r="BE716" s="19">
        <f t="shared" si="55"/>
        <v>0.66111111111110943</v>
      </c>
      <c r="BF716" t="e">
        <f t="shared" ca="1" si="53"/>
        <v>#VALUE!</v>
      </c>
      <c r="BG716" t="e">
        <f t="shared" ca="1" si="54"/>
        <v>#VALUE!</v>
      </c>
    </row>
    <row r="717" spans="57:59" ht="12" customHeight="1" x14ac:dyDescent="0.2">
      <c r="BE717" s="19">
        <f t="shared" si="55"/>
        <v>0.66180555555555387</v>
      </c>
      <c r="BF717" t="e">
        <f t="shared" ca="1" si="53"/>
        <v>#VALUE!</v>
      </c>
      <c r="BG717" t="e">
        <f t="shared" ca="1" si="54"/>
        <v>#VALUE!</v>
      </c>
    </row>
    <row r="718" spans="57:59" ht="12" customHeight="1" x14ac:dyDescent="0.2">
      <c r="BE718" s="19">
        <f t="shared" si="55"/>
        <v>0.66249999999999831</v>
      </c>
      <c r="BF718" t="e">
        <f t="shared" ca="1" si="53"/>
        <v>#VALUE!</v>
      </c>
      <c r="BG718" t="e">
        <f t="shared" ca="1" si="54"/>
        <v>#VALUE!</v>
      </c>
    </row>
    <row r="719" spans="57:59" ht="12" customHeight="1" x14ac:dyDescent="0.2">
      <c r="BE719" s="19">
        <f t="shared" si="55"/>
        <v>0.66319444444444275</v>
      </c>
      <c r="BF719" t="e">
        <f t="shared" ca="1" si="53"/>
        <v>#VALUE!</v>
      </c>
      <c r="BG719" t="e">
        <f t="shared" ca="1" si="54"/>
        <v>#VALUE!</v>
      </c>
    </row>
    <row r="720" spans="57:59" ht="12" customHeight="1" x14ac:dyDescent="0.2">
      <c r="BE720" s="19">
        <f t="shared" si="55"/>
        <v>0.6638888888888872</v>
      </c>
      <c r="BF720" t="e">
        <f t="shared" ca="1" si="53"/>
        <v>#VALUE!</v>
      </c>
      <c r="BG720" t="e">
        <f t="shared" ca="1" si="54"/>
        <v>#VALUE!</v>
      </c>
    </row>
    <row r="721" spans="57:59" ht="12" customHeight="1" x14ac:dyDescent="0.2">
      <c r="BE721" s="19">
        <f t="shared" si="55"/>
        <v>0.66458333333333164</v>
      </c>
      <c r="BF721" t="e">
        <f t="shared" ca="1" si="53"/>
        <v>#VALUE!</v>
      </c>
      <c r="BG721" t="e">
        <f t="shared" ca="1" si="54"/>
        <v>#VALUE!</v>
      </c>
    </row>
    <row r="722" spans="57:59" ht="12" customHeight="1" x14ac:dyDescent="0.2">
      <c r="BE722" s="19">
        <f t="shared" si="55"/>
        <v>0.66527777777777608</v>
      </c>
      <c r="BF722" t="e">
        <f t="shared" ca="1" si="53"/>
        <v>#VALUE!</v>
      </c>
      <c r="BG722" t="e">
        <f t="shared" ca="1" si="54"/>
        <v>#VALUE!</v>
      </c>
    </row>
    <row r="723" spans="57:59" ht="12" customHeight="1" x14ac:dyDescent="0.2">
      <c r="BE723" s="19">
        <f t="shared" si="55"/>
        <v>0.66597222222222052</v>
      </c>
      <c r="BF723" t="e">
        <f t="shared" ca="1" si="53"/>
        <v>#VALUE!</v>
      </c>
      <c r="BG723" t="e">
        <f t="shared" ca="1" si="54"/>
        <v>#VALUE!</v>
      </c>
    </row>
    <row r="724" spans="57:59" ht="12" customHeight="1" x14ac:dyDescent="0.2">
      <c r="BE724" s="19">
        <f t="shared" si="55"/>
        <v>0.66666666666666496</v>
      </c>
      <c r="BF724" t="e">
        <f t="shared" ca="1" si="53"/>
        <v>#VALUE!</v>
      </c>
      <c r="BG724" t="e">
        <f t="shared" ca="1" si="54"/>
        <v>#VALUE!</v>
      </c>
    </row>
    <row r="725" spans="57:59" ht="12" customHeight="1" x14ac:dyDescent="0.2">
      <c r="BE725" s="19">
        <f t="shared" si="55"/>
        <v>0.66736111111110941</v>
      </c>
      <c r="BF725" t="e">
        <f t="shared" ca="1" si="53"/>
        <v>#VALUE!</v>
      </c>
      <c r="BG725" t="e">
        <f t="shared" ca="1" si="54"/>
        <v>#VALUE!</v>
      </c>
    </row>
    <row r="726" spans="57:59" ht="12" customHeight="1" x14ac:dyDescent="0.2">
      <c r="BE726" s="19">
        <f t="shared" si="55"/>
        <v>0.66805555555555385</v>
      </c>
      <c r="BF726" t="e">
        <f t="shared" ca="1" si="53"/>
        <v>#VALUE!</v>
      </c>
      <c r="BG726" t="e">
        <f t="shared" ca="1" si="54"/>
        <v>#VALUE!</v>
      </c>
    </row>
    <row r="727" spans="57:59" ht="12" customHeight="1" x14ac:dyDescent="0.2">
      <c r="BE727" s="19">
        <f t="shared" si="55"/>
        <v>0.66874999999999829</v>
      </c>
      <c r="BF727" t="e">
        <f t="shared" ca="1" si="53"/>
        <v>#VALUE!</v>
      </c>
      <c r="BG727" t="e">
        <f t="shared" ca="1" si="54"/>
        <v>#VALUE!</v>
      </c>
    </row>
    <row r="728" spans="57:59" ht="12" customHeight="1" x14ac:dyDescent="0.2">
      <c r="BE728" s="19">
        <f t="shared" si="55"/>
        <v>0.66944444444444273</v>
      </c>
      <c r="BF728" t="e">
        <f t="shared" ca="1" si="53"/>
        <v>#VALUE!</v>
      </c>
      <c r="BG728" t="e">
        <f t="shared" ca="1" si="54"/>
        <v>#VALUE!</v>
      </c>
    </row>
    <row r="729" spans="57:59" ht="12" customHeight="1" x14ac:dyDescent="0.2">
      <c r="BE729" s="19">
        <f t="shared" si="55"/>
        <v>0.67013888888888717</v>
      </c>
      <c r="BF729" t="e">
        <f t="shared" ca="1" si="53"/>
        <v>#VALUE!</v>
      </c>
      <c r="BG729" t="e">
        <f t="shared" ca="1" si="54"/>
        <v>#VALUE!</v>
      </c>
    </row>
    <row r="730" spans="57:59" ht="12" customHeight="1" x14ac:dyDescent="0.2">
      <c r="BE730" s="19">
        <f t="shared" si="55"/>
        <v>0.67083333333333162</v>
      </c>
      <c r="BF730" t="e">
        <f t="shared" ca="1" si="53"/>
        <v>#VALUE!</v>
      </c>
      <c r="BG730" t="e">
        <f t="shared" ca="1" si="54"/>
        <v>#VALUE!</v>
      </c>
    </row>
    <row r="731" spans="57:59" ht="12" customHeight="1" x14ac:dyDescent="0.2">
      <c r="BE731" s="19">
        <f t="shared" si="55"/>
        <v>0.67152777777777606</v>
      </c>
      <c r="BF731" t="e">
        <f t="shared" ca="1" si="53"/>
        <v>#VALUE!</v>
      </c>
      <c r="BG731" t="e">
        <f t="shared" ca="1" si="54"/>
        <v>#VALUE!</v>
      </c>
    </row>
    <row r="732" spans="57:59" ht="12" customHeight="1" x14ac:dyDescent="0.2">
      <c r="BE732" s="19">
        <f t="shared" si="55"/>
        <v>0.6722222222222205</v>
      </c>
      <c r="BF732" t="e">
        <f t="shared" ca="1" si="53"/>
        <v>#VALUE!</v>
      </c>
      <c r="BG732" t="e">
        <f t="shared" ca="1" si="54"/>
        <v>#VALUE!</v>
      </c>
    </row>
    <row r="733" spans="57:59" ht="12" customHeight="1" x14ac:dyDescent="0.2">
      <c r="BE733" s="19">
        <f t="shared" si="55"/>
        <v>0.67291666666666494</v>
      </c>
      <c r="BF733" t="e">
        <f t="shared" ca="1" si="53"/>
        <v>#VALUE!</v>
      </c>
      <c r="BG733" t="e">
        <f t="shared" ca="1" si="54"/>
        <v>#VALUE!</v>
      </c>
    </row>
    <row r="734" spans="57:59" ht="12" customHeight="1" x14ac:dyDescent="0.2">
      <c r="BE734" s="19">
        <f t="shared" si="55"/>
        <v>0.67361111111110938</v>
      </c>
      <c r="BF734" t="e">
        <f t="shared" ca="1" si="53"/>
        <v>#VALUE!</v>
      </c>
      <c r="BG734" t="e">
        <f t="shared" ca="1" si="54"/>
        <v>#VALUE!</v>
      </c>
    </row>
    <row r="735" spans="57:59" ht="12" customHeight="1" x14ac:dyDescent="0.2">
      <c r="BE735" s="19">
        <f t="shared" si="55"/>
        <v>0.67430555555555383</v>
      </c>
      <c r="BF735" t="e">
        <f t="shared" ca="1" si="53"/>
        <v>#VALUE!</v>
      </c>
      <c r="BG735" t="e">
        <f t="shared" ca="1" si="54"/>
        <v>#VALUE!</v>
      </c>
    </row>
    <row r="736" spans="57:59" ht="12" customHeight="1" x14ac:dyDescent="0.2">
      <c r="BE736" s="19">
        <f t="shared" si="55"/>
        <v>0.67499999999999827</v>
      </c>
      <c r="BF736" t="e">
        <f t="shared" ca="1" si="53"/>
        <v>#VALUE!</v>
      </c>
      <c r="BG736" t="e">
        <f t="shared" ca="1" si="54"/>
        <v>#VALUE!</v>
      </c>
    </row>
    <row r="737" spans="57:59" ht="12" customHeight="1" x14ac:dyDescent="0.2">
      <c r="BE737" s="19">
        <f t="shared" si="55"/>
        <v>0.67569444444444271</v>
      </c>
      <c r="BF737" t="e">
        <f t="shared" ca="1" si="53"/>
        <v>#VALUE!</v>
      </c>
      <c r="BG737" t="e">
        <f t="shared" ca="1" si="54"/>
        <v>#VALUE!</v>
      </c>
    </row>
    <row r="738" spans="57:59" ht="12" customHeight="1" x14ac:dyDescent="0.2">
      <c r="BE738" s="19">
        <f t="shared" si="55"/>
        <v>0.67638888888888715</v>
      </c>
      <c r="BF738" t="e">
        <f t="shared" ca="1" si="53"/>
        <v>#VALUE!</v>
      </c>
      <c r="BG738" t="e">
        <f t="shared" ca="1" si="54"/>
        <v>#VALUE!</v>
      </c>
    </row>
    <row r="739" spans="57:59" ht="12" customHeight="1" x14ac:dyDescent="0.2">
      <c r="BE739" s="19">
        <f t="shared" si="55"/>
        <v>0.67708333333333159</v>
      </c>
      <c r="BF739" t="e">
        <f t="shared" ca="1" si="53"/>
        <v>#VALUE!</v>
      </c>
      <c r="BG739" t="e">
        <f t="shared" ca="1" si="54"/>
        <v>#VALUE!</v>
      </c>
    </row>
    <row r="740" spans="57:59" x14ac:dyDescent="0.2">
      <c r="BE740" s="19">
        <f t="shared" si="55"/>
        <v>0.67777777777777604</v>
      </c>
      <c r="BF740" t="e">
        <f t="shared" ca="1" si="53"/>
        <v>#VALUE!</v>
      </c>
      <c r="BG740" t="e">
        <f t="shared" ca="1" si="54"/>
        <v>#VALUE!</v>
      </c>
    </row>
    <row r="741" spans="57:59" x14ac:dyDescent="0.2">
      <c r="BE741" s="19">
        <f t="shared" si="55"/>
        <v>0.67847222222222048</v>
      </c>
      <c r="BF741" t="e">
        <f t="shared" ca="1" si="53"/>
        <v>#VALUE!</v>
      </c>
      <c r="BG741" t="e">
        <f t="shared" ca="1" si="54"/>
        <v>#VALUE!</v>
      </c>
    </row>
    <row r="742" spans="57:59" x14ac:dyDescent="0.2">
      <c r="BE742" s="19">
        <f t="shared" si="55"/>
        <v>0.67916666666666492</v>
      </c>
      <c r="BF742" t="e">
        <f t="shared" ca="1" si="53"/>
        <v>#VALUE!</v>
      </c>
      <c r="BG742" t="e">
        <f t="shared" ca="1" si="54"/>
        <v>#VALUE!</v>
      </c>
    </row>
    <row r="743" spans="57:59" x14ac:dyDescent="0.2">
      <c r="BE743" s="19">
        <f t="shared" si="55"/>
        <v>0.67986111111110936</v>
      </c>
      <c r="BF743" t="e">
        <f t="shared" ca="1" si="53"/>
        <v>#VALUE!</v>
      </c>
      <c r="BG743" t="e">
        <f t="shared" ca="1" si="54"/>
        <v>#VALUE!</v>
      </c>
    </row>
    <row r="744" spans="57:59" x14ac:dyDescent="0.2">
      <c r="BE744" s="19">
        <f t="shared" si="55"/>
        <v>0.6805555555555538</v>
      </c>
      <c r="BF744" t="e">
        <f t="shared" ca="1" si="53"/>
        <v>#VALUE!</v>
      </c>
      <c r="BG744" t="e">
        <f t="shared" ca="1" si="54"/>
        <v>#VALUE!</v>
      </c>
    </row>
    <row r="745" spans="57:59" x14ac:dyDescent="0.2">
      <c r="BE745" s="19">
        <f t="shared" si="55"/>
        <v>0.68124999999999825</v>
      </c>
      <c r="BF745" t="e">
        <f t="shared" ca="1" si="53"/>
        <v>#VALUE!</v>
      </c>
      <c r="BG745" t="e">
        <f t="shared" ca="1" si="54"/>
        <v>#VALUE!</v>
      </c>
    </row>
    <row r="746" spans="57:59" x14ac:dyDescent="0.2">
      <c r="BE746" s="19">
        <f t="shared" si="55"/>
        <v>0.68194444444444269</v>
      </c>
      <c r="BF746" t="e">
        <f t="shared" ca="1" si="53"/>
        <v>#VALUE!</v>
      </c>
      <c r="BG746" t="e">
        <f t="shared" ca="1" si="54"/>
        <v>#VALUE!</v>
      </c>
    </row>
    <row r="747" spans="57:59" x14ac:dyDescent="0.2">
      <c r="BE747" s="19">
        <f t="shared" si="55"/>
        <v>0.68263888888888713</v>
      </c>
      <c r="BF747" t="e">
        <f t="shared" ca="1" si="53"/>
        <v>#VALUE!</v>
      </c>
      <c r="BG747" t="e">
        <f t="shared" ca="1" si="54"/>
        <v>#VALUE!</v>
      </c>
    </row>
    <row r="748" spans="57:59" x14ac:dyDescent="0.2">
      <c r="BE748" s="19">
        <f t="shared" si="55"/>
        <v>0.68333333333333157</v>
      </c>
      <c r="BF748" t="e">
        <f t="shared" ca="1" si="53"/>
        <v>#VALUE!</v>
      </c>
      <c r="BG748" t="e">
        <f t="shared" ca="1" si="54"/>
        <v>#VALUE!</v>
      </c>
    </row>
    <row r="749" spans="57:59" x14ac:dyDescent="0.2">
      <c r="BE749" s="19">
        <f t="shared" si="55"/>
        <v>0.68402777777777601</v>
      </c>
      <c r="BF749" t="e">
        <f t="shared" ca="1" si="53"/>
        <v>#VALUE!</v>
      </c>
      <c r="BG749" t="e">
        <f t="shared" ca="1" si="54"/>
        <v>#VALUE!</v>
      </c>
    </row>
    <row r="750" spans="57:59" x14ac:dyDescent="0.2">
      <c r="BE750" s="19">
        <f t="shared" si="55"/>
        <v>0.68472222222222046</v>
      </c>
      <c r="BF750" t="e">
        <f t="shared" ca="1" si="53"/>
        <v>#VALUE!</v>
      </c>
      <c r="BG750" t="e">
        <f t="shared" ca="1" si="54"/>
        <v>#VALUE!</v>
      </c>
    </row>
    <row r="751" spans="57:59" x14ac:dyDescent="0.2">
      <c r="BE751" s="19">
        <f t="shared" si="55"/>
        <v>0.6854166666666649</v>
      </c>
      <c r="BF751" t="e">
        <f t="shared" ca="1" si="53"/>
        <v>#VALUE!</v>
      </c>
      <c r="BG751" t="e">
        <f t="shared" ca="1" si="54"/>
        <v>#VALUE!</v>
      </c>
    </row>
    <row r="752" spans="57:59" x14ac:dyDescent="0.2">
      <c r="BE752" s="19">
        <f t="shared" si="55"/>
        <v>0.68611111111110934</v>
      </c>
      <c r="BF752" t="e">
        <f t="shared" ca="1" si="53"/>
        <v>#VALUE!</v>
      </c>
      <c r="BG752" t="e">
        <f t="shared" ca="1" si="54"/>
        <v>#VALUE!</v>
      </c>
    </row>
    <row r="753" spans="57:59" x14ac:dyDescent="0.2">
      <c r="BE753" s="19">
        <f t="shared" si="55"/>
        <v>0.68680555555555378</v>
      </c>
      <c r="BF753" t="e">
        <f t="shared" ca="1" si="53"/>
        <v>#VALUE!</v>
      </c>
      <c r="BG753" t="e">
        <f t="shared" ca="1" si="54"/>
        <v>#VALUE!</v>
      </c>
    </row>
    <row r="754" spans="57:59" x14ac:dyDescent="0.2">
      <c r="BE754" s="19">
        <f t="shared" si="55"/>
        <v>0.68749999999999822</v>
      </c>
      <c r="BF754" t="e">
        <f t="shared" ca="1" si="53"/>
        <v>#VALUE!</v>
      </c>
      <c r="BG754" t="e">
        <f t="shared" ca="1" si="54"/>
        <v>#VALUE!</v>
      </c>
    </row>
    <row r="755" spans="57:59" x14ac:dyDescent="0.2">
      <c r="BE755" s="19">
        <f t="shared" si="55"/>
        <v>0.68819444444444267</v>
      </c>
      <c r="BF755" t="e">
        <f t="shared" ca="1" si="53"/>
        <v>#VALUE!</v>
      </c>
      <c r="BG755" t="e">
        <f t="shared" ca="1" si="54"/>
        <v>#VALUE!</v>
      </c>
    </row>
    <row r="756" spans="57:59" x14ac:dyDescent="0.2">
      <c r="BE756" s="19">
        <f t="shared" si="55"/>
        <v>0.68888888888888711</v>
      </c>
      <c r="BF756" t="e">
        <f t="shared" ca="1" si="53"/>
        <v>#VALUE!</v>
      </c>
      <c r="BG756" t="e">
        <f t="shared" ca="1" si="54"/>
        <v>#VALUE!</v>
      </c>
    </row>
    <row r="757" spans="57:59" x14ac:dyDescent="0.2">
      <c r="BE757" s="19">
        <f t="shared" si="55"/>
        <v>0.68958333333333155</v>
      </c>
      <c r="BF757" t="e">
        <f t="shared" ca="1" si="53"/>
        <v>#VALUE!</v>
      </c>
      <c r="BG757" t="e">
        <f t="shared" ca="1" si="54"/>
        <v>#VALUE!</v>
      </c>
    </row>
    <row r="758" spans="57:59" x14ac:dyDescent="0.2">
      <c r="BE758" s="19">
        <f t="shared" si="55"/>
        <v>0.69027777777777599</v>
      </c>
      <c r="BF758" t="e">
        <f t="shared" ca="1" si="53"/>
        <v>#VALUE!</v>
      </c>
      <c r="BG758" t="e">
        <f t="shared" ca="1" si="54"/>
        <v>#VALUE!</v>
      </c>
    </row>
    <row r="759" spans="57:59" x14ac:dyDescent="0.2">
      <c r="BE759" s="19">
        <f t="shared" si="55"/>
        <v>0.69097222222222043</v>
      </c>
      <c r="BF759" t="e">
        <f t="shared" ca="1" si="53"/>
        <v>#VALUE!</v>
      </c>
      <c r="BG759" t="e">
        <f t="shared" ca="1" si="54"/>
        <v>#VALUE!</v>
      </c>
    </row>
    <row r="760" spans="57:59" x14ac:dyDescent="0.2">
      <c r="BE760" s="19">
        <f t="shared" si="55"/>
        <v>0.69166666666666488</v>
      </c>
      <c r="BF760" t="e">
        <f t="shared" ca="1" si="53"/>
        <v>#VALUE!</v>
      </c>
      <c r="BG760" t="e">
        <f t="shared" ca="1" si="54"/>
        <v>#VALUE!</v>
      </c>
    </row>
    <row r="761" spans="57:59" x14ac:dyDescent="0.2">
      <c r="BE761" s="19">
        <f t="shared" si="55"/>
        <v>0.69236111111110932</v>
      </c>
      <c r="BF761" t="e">
        <f t="shared" ca="1" si="53"/>
        <v>#VALUE!</v>
      </c>
      <c r="BG761" t="e">
        <f t="shared" ca="1" si="54"/>
        <v>#VALUE!</v>
      </c>
    </row>
    <row r="762" spans="57:59" x14ac:dyDescent="0.2">
      <c r="BE762" s="19">
        <f t="shared" si="55"/>
        <v>0.69305555555555376</v>
      </c>
      <c r="BF762" t="e">
        <f t="shared" ca="1" si="53"/>
        <v>#VALUE!</v>
      </c>
      <c r="BG762" t="e">
        <f t="shared" ca="1" si="54"/>
        <v>#VALUE!</v>
      </c>
    </row>
    <row r="763" spans="57:59" x14ac:dyDescent="0.2">
      <c r="BE763" s="19">
        <f t="shared" si="55"/>
        <v>0.6937499999999982</v>
      </c>
      <c r="BF763" t="e">
        <f t="shared" ca="1" si="53"/>
        <v>#VALUE!</v>
      </c>
      <c r="BG763" t="e">
        <f t="shared" ca="1" si="54"/>
        <v>#VALUE!</v>
      </c>
    </row>
    <row r="764" spans="57:59" x14ac:dyDescent="0.2">
      <c r="BE764" s="19">
        <f t="shared" si="55"/>
        <v>0.69444444444444264</v>
      </c>
      <c r="BF764" t="e">
        <f t="shared" ca="1" si="53"/>
        <v>#VALUE!</v>
      </c>
      <c r="BG764" t="e">
        <f t="shared" ca="1" si="54"/>
        <v>#VALUE!</v>
      </c>
    </row>
    <row r="765" spans="57:59" x14ac:dyDescent="0.2">
      <c r="BE765" s="19">
        <f t="shared" si="55"/>
        <v>0.69513888888888709</v>
      </c>
      <c r="BF765" t="e">
        <f t="shared" ca="1" si="53"/>
        <v>#VALUE!</v>
      </c>
      <c r="BG765" t="e">
        <f t="shared" ca="1" si="54"/>
        <v>#VALUE!</v>
      </c>
    </row>
    <row r="766" spans="57:59" x14ac:dyDescent="0.2">
      <c r="BE766" s="19">
        <f t="shared" si="55"/>
        <v>0.69583333333333153</v>
      </c>
      <c r="BF766" t="e">
        <f t="shared" ca="1" si="53"/>
        <v>#VALUE!</v>
      </c>
      <c r="BG766" t="e">
        <f t="shared" ca="1" si="54"/>
        <v>#VALUE!</v>
      </c>
    </row>
    <row r="767" spans="57:59" x14ac:dyDescent="0.2">
      <c r="BE767" s="19">
        <f t="shared" si="55"/>
        <v>0.69652777777777597</v>
      </c>
      <c r="BF767" t="e">
        <f t="shared" ca="1" si="53"/>
        <v>#VALUE!</v>
      </c>
      <c r="BG767" t="e">
        <f t="shared" ca="1" si="54"/>
        <v>#VALUE!</v>
      </c>
    </row>
    <row r="768" spans="57:59" x14ac:dyDescent="0.2">
      <c r="BE768" s="19">
        <f t="shared" si="55"/>
        <v>0.69722222222222041</v>
      </c>
      <c r="BF768" t="e">
        <f t="shared" ca="1" si="53"/>
        <v>#VALUE!</v>
      </c>
      <c r="BG768" t="e">
        <f t="shared" ca="1" si="54"/>
        <v>#VALUE!</v>
      </c>
    </row>
    <row r="769" spans="57:59" x14ac:dyDescent="0.2">
      <c r="BE769" s="19">
        <f t="shared" si="55"/>
        <v>0.69791666666666485</v>
      </c>
      <c r="BF769" t="e">
        <f t="shared" ca="1" si="53"/>
        <v>#VALUE!</v>
      </c>
      <c r="BG769" t="e">
        <f t="shared" ca="1" si="54"/>
        <v>#VALUE!</v>
      </c>
    </row>
    <row r="770" spans="57:59" x14ac:dyDescent="0.2">
      <c r="BE770" s="19">
        <f t="shared" si="55"/>
        <v>0.6986111111111093</v>
      </c>
      <c r="BF770" t="e">
        <f t="shared" ca="1" si="53"/>
        <v>#VALUE!</v>
      </c>
      <c r="BG770" t="e">
        <f t="shared" ca="1" si="54"/>
        <v>#VALUE!</v>
      </c>
    </row>
    <row r="771" spans="57:59" x14ac:dyDescent="0.2">
      <c r="BE771" s="19">
        <f t="shared" si="55"/>
        <v>0.69930555555555374</v>
      </c>
      <c r="BF771" t="e">
        <f t="shared" ca="1" si="53"/>
        <v>#VALUE!</v>
      </c>
      <c r="BG771" t="e">
        <f t="shared" ca="1" si="54"/>
        <v>#VALUE!</v>
      </c>
    </row>
    <row r="772" spans="57:59" x14ac:dyDescent="0.2">
      <c r="BE772" s="19">
        <f t="shared" si="55"/>
        <v>0.69999999999999818</v>
      </c>
      <c r="BF772" t="e">
        <f t="shared" ref="BF772:BF835" ca="1" si="56">IF(BG772=0,AVERAGE(OFFSET(BH772,0,0,1,$A$1-1)),AVERAGE(BG772,OFFSET(BH772,0,0,1,$A$1-1)))</f>
        <v>#VALUE!</v>
      </c>
      <c r="BG772" t="e">
        <f t="shared" ca="1" si="54"/>
        <v>#VALUE!</v>
      </c>
    </row>
    <row r="773" spans="57:59" x14ac:dyDescent="0.2">
      <c r="BE773" s="19">
        <f t="shared" si="55"/>
        <v>0.70069444444444262</v>
      </c>
      <c r="BF773" t="e">
        <f t="shared" ca="1" si="56"/>
        <v>#VALUE!</v>
      </c>
      <c r="BG773" t="e">
        <f t="shared" ref="BG773:BG836" ca="1" si="57">IF(BE773&lt;$B$5-1/1440,0,OFFSET($AA$4,(BE773-$B$4)*1440,0,1,1))</f>
        <v>#VALUE!</v>
      </c>
    </row>
    <row r="774" spans="57:59" x14ac:dyDescent="0.2">
      <c r="BE774" s="19">
        <f t="shared" ref="BE774:BE837" si="58">BE773+1/1440</f>
        <v>0.70138888888888706</v>
      </c>
      <c r="BF774" t="e">
        <f t="shared" ca="1" si="56"/>
        <v>#VALUE!</v>
      </c>
      <c r="BG774" t="e">
        <f t="shared" ca="1" si="57"/>
        <v>#VALUE!</v>
      </c>
    </row>
    <row r="775" spans="57:59" x14ac:dyDescent="0.2">
      <c r="BE775" s="19">
        <f t="shared" si="58"/>
        <v>0.70208333333333151</v>
      </c>
      <c r="BF775" t="e">
        <f t="shared" ca="1" si="56"/>
        <v>#VALUE!</v>
      </c>
      <c r="BG775" t="e">
        <f t="shared" ca="1" si="57"/>
        <v>#VALUE!</v>
      </c>
    </row>
    <row r="776" spans="57:59" x14ac:dyDescent="0.2">
      <c r="BE776" s="19">
        <f t="shared" si="58"/>
        <v>0.70277777777777595</v>
      </c>
      <c r="BF776" t="e">
        <f t="shared" ca="1" si="56"/>
        <v>#VALUE!</v>
      </c>
      <c r="BG776" t="e">
        <f t="shared" ca="1" si="57"/>
        <v>#VALUE!</v>
      </c>
    </row>
    <row r="777" spans="57:59" x14ac:dyDescent="0.2">
      <c r="BE777" s="19">
        <f t="shared" si="58"/>
        <v>0.70347222222222039</v>
      </c>
      <c r="BF777" t="e">
        <f t="shared" ca="1" si="56"/>
        <v>#VALUE!</v>
      </c>
      <c r="BG777" t="e">
        <f t="shared" ca="1" si="57"/>
        <v>#VALUE!</v>
      </c>
    </row>
    <row r="778" spans="57:59" x14ac:dyDescent="0.2">
      <c r="BE778" s="19">
        <f t="shared" si="58"/>
        <v>0.70416666666666483</v>
      </c>
      <c r="BF778" t="e">
        <f t="shared" ca="1" si="56"/>
        <v>#VALUE!</v>
      </c>
      <c r="BG778" t="e">
        <f t="shared" ca="1" si="57"/>
        <v>#VALUE!</v>
      </c>
    </row>
    <row r="779" spans="57:59" x14ac:dyDescent="0.2">
      <c r="BE779" s="19">
        <f t="shared" si="58"/>
        <v>0.70486111111110927</v>
      </c>
      <c r="BF779" t="e">
        <f t="shared" ca="1" si="56"/>
        <v>#VALUE!</v>
      </c>
      <c r="BG779" t="e">
        <f t="shared" ca="1" si="57"/>
        <v>#VALUE!</v>
      </c>
    </row>
    <row r="780" spans="57:59" x14ac:dyDescent="0.2">
      <c r="BE780" s="19">
        <f t="shared" si="58"/>
        <v>0.70555555555555372</v>
      </c>
      <c r="BF780" t="e">
        <f t="shared" ca="1" si="56"/>
        <v>#VALUE!</v>
      </c>
      <c r="BG780" t="e">
        <f t="shared" ca="1" si="57"/>
        <v>#VALUE!</v>
      </c>
    </row>
    <row r="781" spans="57:59" x14ac:dyDescent="0.2">
      <c r="BE781" s="19">
        <f t="shared" si="58"/>
        <v>0.70624999999999816</v>
      </c>
      <c r="BF781" t="e">
        <f t="shared" ca="1" si="56"/>
        <v>#VALUE!</v>
      </c>
      <c r="BG781" t="e">
        <f t="shared" ca="1" si="57"/>
        <v>#VALUE!</v>
      </c>
    </row>
    <row r="782" spans="57:59" x14ac:dyDescent="0.2">
      <c r="BE782" s="19">
        <f t="shared" si="58"/>
        <v>0.7069444444444426</v>
      </c>
      <c r="BF782" t="e">
        <f t="shared" ca="1" si="56"/>
        <v>#VALUE!</v>
      </c>
      <c r="BG782" t="e">
        <f t="shared" ca="1" si="57"/>
        <v>#VALUE!</v>
      </c>
    </row>
    <row r="783" spans="57:59" x14ac:dyDescent="0.2">
      <c r="BE783" s="19">
        <f t="shared" si="58"/>
        <v>0.70763888888888704</v>
      </c>
      <c r="BF783" t="e">
        <f t="shared" ca="1" si="56"/>
        <v>#VALUE!</v>
      </c>
      <c r="BG783" t="e">
        <f t="shared" ca="1" si="57"/>
        <v>#VALUE!</v>
      </c>
    </row>
    <row r="784" spans="57:59" x14ac:dyDescent="0.2">
      <c r="BE784" s="19">
        <f t="shared" si="58"/>
        <v>0.70833333333333148</v>
      </c>
      <c r="BF784" t="e">
        <f t="shared" ca="1" si="56"/>
        <v>#VALUE!</v>
      </c>
      <c r="BG784" t="e">
        <f t="shared" ca="1" si="57"/>
        <v>#VALUE!</v>
      </c>
    </row>
    <row r="785" spans="57:59" x14ac:dyDescent="0.2">
      <c r="BE785" s="19">
        <f t="shared" si="58"/>
        <v>0.70902777777777592</v>
      </c>
      <c r="BF785" t="e">
        <f t="shared" ca="1" si="56"/>
        <v>#VALUE!</v>
      </c>
      <c r="BG785" t="e">
        <f t="shared" ca="1" si="57"/>
        <v>#VALUE!</v>
      </c>
    </row>
    <row r="786" spans="57:59" x14ac:dyDescent="0.2">
      <c r="BE786" s="19">
        <f t="shared" si="58"/>
        <v>0.70972222222222037</v>
      </c>
      <c r="BF786" t="e">
        <f t="shared" ca="1" si="56"/>
        <v>#VALUE!</v>
      </c>
      <c r="BG786" t="e">
        <f t="shared" ca="1" si="57"/>
        <v>#VALUE!</v>
      </c>
    </row>
    <row r="787" spans="57:59" x14ac:dyDescent="0.2">
      <c r="BE787" s="19">
        <f t="shared" si="58"/>
        <v>0.71041666666666481</v>
      </c>
      <c r="BF787" t="e">
        <f t="shared" ca="1" si="56"/>
        <v>#VALUE!</v>
      </c>
      <c r="BG787" t="e">
        <f t="shared" ca="1" si="57"/>
        <v>#VALUE!</v>
      </c>
    </row>
    <row r="788" spans="57:59" x14ac:dyDescent="0.2">
      <c r="BE788" s="19">
        <f t="shared" si="58"/>
        <v>0.71111111111110925</v>
      </c>
      <c r="BF788" t="e">
        <f t="shared" ca="1" si="56"/>
        <v>#VALUE!</v>
      </c>
      <c r="BG788" t="e">
        <f t="shared" ca="1" si="57"/>
        <v>#VALUE!</v>
      </c>
    </row>
    <row r="789" spans="57:59" x14ac:dyDescent="0.2">
      <c r="BE789" s="19">
        <f t="shared" si="58"/>
        <v>0.71180555555555369</v>
      </c>
      <c r="BF789" t="e">
        <f t="shared" ca="1" si="56"/>
        <v>#VALUE!</v>
      </c>
      <c r="BG789" t="e">
        <f t="shared" ca="1" si="57"/>
        <v>#VALUE!</v>
      </c>
    </row>
    <row r="790" spans="57:59" x14ac:dyDescent="0.2">
      <c r="BE790" s="19">
        <f t="shared" si="58"/>
        <v>0.71249999999999813</v>
      </c>
      <c r="BF790" t="e">
        <f t="shared" ca="1" si="56"/>
        <v>#VALUE!</v>
      </c>
      <c r="BG790" t="e">
        <f t="shared" ca="1" si="57"/>
        <v>#VALUE!</v>
      </c>
    </row>
    <row r="791" spans="57:59" x14ac:dyDescent="0.2">
      <c r="BE791" s="19">
        <f t="shared" si="58"/>
        <v>0.71319444444444258</v>
      </c>
      <c r="BF791" t="e">
        <f t="shared" ca="1" si="56"/>
        <v>#VALUE!</v>
      </c>
      <c r="BG791" t="e">
        <f t="shared" ca="1" si="57"/>
        <v>#VALUE!</v>
      </c>
    </row>
    <row r="792" spans="57:59" x14ac:dyDescent="0.2">
      <c r="BE792" s="19">
        <f t="shared" si="58"/>
        <v>0.71388888888888702</v>
      </c>
      <c r="BF792" t="e">
        <f t="shared" ca="1" si="56"/>
        <v>#VALUE!</v>
      </c>
      <c r="BG792" t="e">
        <f t="shared" ca="1" si="57"/>
        <v>#VALUE!</v>
      </c>
    </row>
    <row r="793" spans="57:59" x14ac:dyDescent="0.2">
      <c r="BE793" s="19">
        <f t="shared" si="58"/>
        <v>0.71458333333333146</v>
      </c>
      <c r="BF793" t="e">
        <f t="shared" ca="1" si="56"/>
        <v>#VALUE!</v>
      </c>
      <c r="BG793" t="e">
        <f t="shared" ca="1" si="57"/>
        <v>#VALUE!</v>
      </c>
    </row>
    <row r="794" spans="57:59" x14ac:dyDescent="0.2">
      <c r="BE794" s="19">
        <f t="shared" si="58"/>
        <v>0.7152777777777759</v>
      </c>
      <c r="BF794" t="e">
        <f t="shared" ca="1" si="56"/>
        <v>#VALUE!</v>
      </c>
      <c r="BG794" t="e">
        <f t="shared" ca="1" si="57"/>
        <v>#VALUE!</v>
      </c>
    </row>
    <row r="795" spans="57:59" x14ac:dyDescent="0.2">
      <c r="BE795" s="19">
        <f t="shared" si="58"/>
        <v>0.71597222222222034</v>
      </c>
      <c r="BF795" t="e">
        <f t="shared" ca="1" si="56"/>
        <v>#VALUE!</v>
      </c>
      <c r="BG795" t="e">
        <f t="shared" ca="1" si="57"/>
        <v>#VALUE!</v>
      </c>
    </row>
    <row r="796" spans="57:59" x14ac:dyDescent="0.2">
      <c r="BE796" s="19">
        <f t="shared" si="58"/>
        <v>0.71666666666666479</v>
      </c>
      <c r="BF796" t="e">
        <f t="shared" ca="1" si="56"/>
        <v>#VALUE!</v>
      </c>
      <c r="BG796" t="e">
        <f t="shared" ca="1" si="57"/>
        <v>#VALUE!</v>
      </c>
    </row>
    <row r="797" spans="57:59" x14ac:dyDescent="0.2">
      <c r="BE797" s="19">
        <f t="shared" si="58"/>
        <v>0.71736111111110923</v>
      </c>
      <c r="BF797" t="e">
        <f t="shared" ca="1" si="56"/>
        <v>#VALUE!</v>
      </c>
      <c r="BG797" t="e">
        <f t="shared" ca="1" si="57"/>
        <v>#VALUE!</v>
      </c>
    </row>
    <row r="798" spans="57:59" x14ac:dyDescent="0.2">
      <c r="BE798" s="19">
        <f t="shared" si="58"/>
        <v>0.71805555555555367</v>
      </c>
      <c r="BF798" t="e">
        <f t="shared" ca="1" si="56"/>
        <v>#VALUE!</v>
      </c>
      <c r="BG798" t="e">
        <f t="shared" ca="1" si="57"/>
        <v>#VALUE!</v>
      </c>
    </row>
    <row r="799" spans="57:59" x14ac:dyDescent="0.2">
      <c r="BE799" s="19">
        <f t="shared" si="58"/>
        <v>0.71874999999999811</v>
      </c>
      <c r="BF799" t="e">
        <f t="shared" ca="1" si="56"/>
        <v>#VALUE!</v>
      </c>
      <c r="BG799" t="e">
        <f t="shared" ca="1" si="57"/>
        <v>#VALUE!</v>
      </c>
    </row>
    <row r="800" spans="57:59" x14ac:dyDescent="0.2">
      <c r="BE800" s="19">
        <f t="shared" si="58"/>
        <v>0.71944444444444255</v>
      </c>
      <c r="BF800" t="e">
        <f t="shared" ca="1" si="56"/>
        <v>#VALUE!</v>
      </c>
      <c r="BG800" t="e">
        <f t="shared" ca="1" si="57"/>
        <v>#VALUE!</v>
      </c>
    </row>
    <row r="801" spans="57:59" x14ac:dyDescent="0.2">
      <c r="BE801" s="19">
        <f t="shared" si="58"/>
        <v>0.720138888888887</v>
      </c>
      <c r="BF801" t="e">
        <f t="shared" ca="1" si="56"/>
        <v>#VALUE!</v>
      </c>
      <c r="BG801" t="e">
        <f t="shared" ca="1" si="57"/>
        <v>#VALUE!</v>
      </c>
    </row>
    <row r="802" spans="57:59" x14ac:dyDescent="0.2">
      <c r="BE802" s="19">
        <f t="shared" si="58"/>
        <v>0.72083333333333144</v>
      </c>
      <c r="BF802" t="e">
        <f t="shared" ca="1" si="56"/>
        <v>#VALUE!</v>
      </c>
      <c r="BG802" t="e">
        <f t="shared" ca="1" si="57"/>
        <v>#VALUE!</v>
      </c>
    </row>
    <row r="803" spans="57:59" x14ac:dyDescent="0.2">
      <c r="BE803" s="19">
        <f t="shared" si="58"/>
        <v>0.72152777777777588</v>
      </c>
      <c r="BF803" t="e">
        <f t="shared" ca="1" si="56"/>
        <v>#VALUE!</v>
      </c>
      <c r="BG803" t="e">
        <f t="shared" ca="1" si="57"/>
        <v>#VALUE!</v>
      </c>
    </row>
    <row r="804" spans="57:59" x14ac:dyDescent="0.2">
      <c r="BE804" s="19">
        <f t="shared" si="58"/>
        <v>0.72222222222222032</v>
      </c>
      <c r="BF804" t="e">
        <f t="shared" ca="1" si="56"/>
        <v>#VALUE!</v>
      </c>
      <c r="BG804" t="e">
        <f t="shared" ca="1" si="57"/>
        <v>#VALUE!</v>
      </c>
    </row>
    <row r="805" spans="57:59" x14ac:dyDescent="0.2">
      <c r="BE805" s="19">
        <f t="shared" si="58"/>
        <v>0.72291666666666476</v>
      </c>
      <c r="BF805" t="e">
        <f t="shared" ca="1" si="56"/>
        <v>#VALUE!</v>
      </c>
      <c r="BG805" t="e">
        <f t="shared" ca="1" si="57"/>
        <v>#VALUE!</v>
      </c>
    </row>
    <row r="806" spans="57:59" x14ac:dyDescent="0.2">
      <c r="BE806" s="19">
        <f t="shared" si="58"/>
        <v>0.72361111111110921</v>
      </c>
      <c r="BF806" t="e">
        <f t="shared" ca="1" si="56"/>
        <v>#VALUE!</v>
      </c>
      <c r="BG806" t="e">
        <f t="shared" ca="1" si="57"/>
        <v>#VALUE!</v>
      </c>
    </row>
    <row r="807" spans="57:59" x14ac:dyDescent="0.2">
      <c r="BE807" s="19">
        <f t="shared" si="58"/>
        <v>0.72430555555555365</v>
      </c>
      <c r="BF807" t="e">
        <f t="shared" ca="1" si="56"/>
        <v>#VALUE!</v>
      </c>
      <c r="BG807" t="e">
        <f t="shared" ca="1" si="57"/>
        <v>#VALUE!</v>
      </c>
    </row>
    <row r="808" spans="57:59" x14ac:dyDescent="0.2">
      <c r="BE808" s="19">
        <f t="shared" si="58"/>
        <v>0.72499999999999809</v>
      </c>
      <c r="BF808" t="e">
        <f t="shared" ca="1" si="56"/>
        <v>#VALUE!</v>
      </c>
      <c r="BG808" t="e">
        <f t="shared" ca="1" si="57"/>
        <v>#VALUE!</v>
      </c>
    </row>
    <row r="809" spans="57:59" x14ac:dyDescent="0.2">
      <c r="BE809" s="19">
        <f t="shared" si="58"/>
        <v>0.72569444444444253</v>
      </c>
      <c r="BF809" t="e">
        <f t="shared" ca="1" si="56"/>
        <v>#VALUE!</v>
      </c>
      <c r="BG809" t="e">
        <f t="shared" ca="1" si="57"/>
        <v>#VALUE!</v>
      </c>
    </row>
    <row r="810" spans="57:59" x14ac:dyDescent="0.2">
      <c r="BE810" s="19">
        <f t="shared" si="58"/>
        <v>0.72638888888888697</v>
      </c>
      <c r="BF810" t="e">
        <f t="shared" ca="1" si="56"/>
        <v>#VALUE!</v>
      </c>
      <c r="BG810" t="e">
        <f t="shared" ca="1" si="57"/>
        <v>#VALUE!</v>
      </c>
    </row>
    <row r="811" spans="57:59" x14ac:dyDescent="0.2">
      <c r="BE811" s="19">
        <f t="shared" si="58"/>
        <v>0.72708333333333142</v>
      </c>
      <c r="BF811" t="e">
        <f t="shared" ca="1" si="56"/>
        <v>#VALUE!</v>
      </c>
      <c r="BG811" t="e">
        <f t="shared" ca="1" si="57"/>
        <v>#VALUE!</v>
      </c>
    </row>
    <row r="812" spans="57:59" x14ac:dyDescent="0.2">
      <c r="BE812" s="19">
        <f t="shared" si="58"/>
        <v>0.72777777777777586</v>
      </c>
      <c r="BF812" t="e">
        <f t="shared" ca="1" si="56"/>
        <v>#VALUE!</v>
      </c>
      <c r="BG812" t="e">
        <f t="shared" ca="1" si="57"/>
        <v>#VALUE!</v>
      </c>
    </row>
    <row r="813" spans="57:59" x14ac:dyDescent="0.2">
      <c r="BE813" s="19">
        <f t="shared" si="58"/>
        <v>0.7284722222222203</v>
      </c>
      <c r="BF813" t="e">
        <f t="shared" ca="1" si="56"/>
        <v>#VALUE!</v>
      </c>
      <c r="BG813" t="e">
        <f t="shared" ca="1" si="57"/>
        <v>#VALUE!</v>
      </c>
    </row>
    <row r="814" spans="57:59" x14ac:dyDescent="0.2">
      <c r="BE814" s="19">
        <f t="shared" si="58"/>
        <v>0.72916666666666474</v>
      </c>
      <c r="BF814" t="e">
        <f t="shared" ca="1" si="56"/>
        <v>#VALUE!</v>
      </c>
      <c r="BG814" t="e">
        <f t="shared" ca="1" si="57"/>
        <v>#VALUE!</v>
      </c>
    </row>
    <row r="815" spans="57:59" x14ac:dyDescent="0.2">
      <c r="BE815" s="19">
        <f t="shared" si="58"/>
        <v>0.72986111111110918</v>
      </c>
      <c r="BF815" t="e">
        <f t="shared" ca="1" si="56"/>
        <v>#VALUE!</v>
      </c>
      <c r="BG815" t="e">
        <f t="shared" ca="1" si="57"/>
        <v>#VALUE!</v>
      </c>
    </row>
    <row r="816" spans="57:59" x14ac:dyDescent="0.2">
      <c r="BE816" s="19">
        <f t="shared" si="58"/>
        <v>0.73055555555555363</v>
      </c>
      <c r="BF816" t="e">
        <f t="shared" ca="1" si="56"/>
        <v>#VALUE!</v>
      </c>
      <c r="BG816" t="e">
        <f t="shared" ca="1" si="57"/>
        <v>#VALUE!</v>
      </c>
    </row>
    <row r="817" spans="57:59" x14ac:dyDescent="0.2">
      <c r="BE817" s="19">
        <f t="shared" si="58"/>
        <v>0.73124999999999807</v>
      </c>
      <c r="BF817" t="e">
        <f t="shared" ca="1" si="56"/>
        <v>#VALUE!</v>
      </c>
      <c r="BG817" t="e">
        <f t="shared" ca="1" si="57"/>
        <v>#VALUE!</v>
      </c>
    </row>
    <row r="818" spans="57:59" x14ac:dyDescent="0.2">
      <c r="BE818" s="19">
        <f t="shared" si="58"/>
        <v>0.73194444444444251</v>
      </c>
      <c r="BF818" t="e">
        <f t="shared" ca="1" si="56"/>
        <v>#VALUE!</v>
      </c>
      <c r="BG818" t="e">
        <f t="shared" ca="1" si="57"/>
        <v>#VALUE!</v>
      </c>
    </row>
    <row r="819" spans="57:59" x14ac:dyDescent="0.2">
      <c r="BE819" s="19">
        <f t="shared" si="58"/>
        <v>0.73263888888888695</v>
      </c>
      <c r="BF819" t="e">
        <f t="shared" ca="1" si="56"/>
        <v>#VALUE!</v>
      </c>
      <c r="BG819" t="e">
        <f t="shared" ca="1" si="57"/>
        <v>#VALUE!</v>
      </c>
    </row>
    <row r="820" spans="57:59" x14ac:dyDescent="0.2">
      <c r="BE820" s="19">
        <f t="shared" si="58"/>
        <v>0.73333333333333139</v>
      </c>
      <c r="BF820" t="e">
        <f t="shared" ca="1" si="56"/>
        <v>#VALUE!</v>
      </c>
      <c r="BG820" t="e">
        <f t="shared" ca="1" si="57"/>
        <v>#VALUE!</v>
      </c>
    </row>
    <row r="821" spans="57:59" x14ac:dyDescent="0.2">
      <c r="BE821" s="19">
        <f t="shared" si="58"/>
        <v>0.73402777777777584</v>
      </c>
      <c r="BF821" t="e">
        <f t="shared" ca="1" si="56"/>
        <v>#VALUE!</v>
      </c>
      <c r="BG821" t="e">
        <f t="shared" ca="1" si="57"/>
        <v>#VALUE!</v>
      </c>
    </row>
    <row r="822" spans="57:59" x14ac:dyDescent="0.2">
      <c r="BE822" s="19">
        <f t="shared" si="58"/>
        <v>0.73472222222222028</v>
      </c>
      <c r="BF822" t="e">
        <f t="shared" ca="1" si="56"/>
        <v>#VALUE!</v>
      </c>
      <c r="BG822" t="e">
        <f t="shared" ca="1" si="57"/>
        <v>#VALUE!</v>
      </c>
    </row>
    <row r="823" spans="57:59" x14ac:dyDescent="0.2">
      <c r="BE823" s="19">
        <f t="shared" si="58"/>
        <v>0.73541666666666472</v>
      </c>
      <c r="BF823" t="e">
        <f t="shared" ca="1" si="56"/>
        <v>#VALUE!</v>
      </c>
      <c r="BG823" t="e">
        <f t="shared" ca="1" si="57"/>
        <v>#VALUE!</v>
      </c>
    </row>
    <row r="824" spans="57:59" x14ac:dyDescent="0.2">
      <c r="BE824" s="19">
        <f t="shared" si="58"/>
        <v>0.73611111111110916</v>
      </c>
      <c r="BF824" t="e">
        <f t="shared" ca="1" si="56"/>
        <v>#VALUE!</v>
      </c>
      <c r="BG824" t="e">
        <f t="shared" ca="1" si="57"/>
        <v>#VALUE!</v>
      </c>
    </row>
    <row r="825" spans="57:59" x14ac:dyDescent="0.2">
      <c r="BE825" s="19">
        <f t="shared" si="58"/>
        <v>0.7368055555555536</v>
      </c>
      <c r="BF825" t="e">
        <f t="shared" ca="1" si="56"/>
        <v>#VALUE!</v>
      </c>
      <c r="BG825" t="e">
        <f t="shared" ca="1" si="57"/>
        <v>#VALUE!</v>
      </c>
    </row>
    <row r="826" spans="57:59" x14ac:dyDescent="0.2">
      <c r="BE826" s="19">
        <f t="shared" si="58"/>
        <v>0.73749999999999805</v>
      </c>
      <c r="BF826" t="e">
        <f t="shared" ca="1" si="56"/>
        <v>#VALUE!</v>
      </c>
      <c r="BG826" t="e">
        <f t="shared" ca="1" si="57"/>
        <v>#VALUE!</v>
      </c>
    </row>
    <row r="827" spans="57:59" x14ac:dyDescent="0.2">
      <c r="BE827" s="19">
        <f t="shared" si="58"/>
        <v>0.73819444444444249</v>
      </c>
      <c r="BF827" t="e">
        <f t="shared" ca="1" si="56"/>
        <v>#VALUE!</v>
      </c>
      <c r="BG827" t="e">
        <f t="shared" ca="1" si="57"/>
        <v>#VALUE!</v>
      </c>
    </row>
    <row r="828" spans="57:59" x14ac:dyDescent="0.2">
      <c r="BE828" s="19">
        <f t="shared" si="58"/>
        <v>0.73888888888888693</v>
      </c>
      <c r="BF828" t="e">
        <f t="shared" ca="1" si="56"/>
        <v>#VALUE!</v>
      </c>
      <c r="BG828" t="e">
        <f t="shared" ca="1" si="57"/>
        <v>#VALUE!</v>
      </c>
    </row>
    <row r="829" spans="57:59" x14ac:dyDescent="0.2">
      <c r="BE829" s="19">
        <f t="shared" si="58"/>
        <v>0.73958333333333137</v>
      </c>
      <c r="BF829" t="e">
        <f t="shared" ca="1" si="56"/>
        <v>#VALUE!</v>
      </c>
      <c r="BG829" t="e">
        <f t="shared" ca="1" si="57"/>
        <v>#VALUE!</v>
      </c>
    </row>
    <row r="830" spans="57:59" x14ac:dyDescent="0.2">
      <c r="BE830" s="19">
        <f t="shared" si="58"/>
        <v>0.74027777777777581</v>
      </c>
      <c r="BF830" t="e">
        <f t="shared" ca="1" si="56"/>
        <v>#VALUE!</v>
      </c>
      <c r="BG830" t="e">
        <f t="shared" ca="1" si="57"/>
        <v>#VALUE!</v>
      </c>
    </row>
    <row r="831" spans="57:59" x14ac:dyDescent="0.2">
      <c r="BE831" s="19">
        <f t="shared" si="58"/>
        <v>0.74097222222222026</v>
      </c>
      <c r="BF831" t="e">
        <f t="shared" ca="1" si="56"/>
        <v>#VALUE!</v>
      </c>
      <c r="BG831" t="e">
        <f t="shared" ca="1" si="57"/>
        <v>#VALUE!</v>
      </c>
    </row>
    <row r="832" spans="57:59" x14ac:dyDescent="0.2">
      <c r="BE832" s="19">
        <f t="shared" si="58"/>
        <v>0.7416666666666647</v>
      </c>
      <c r="BF832" t="e">
        <f t="shared" ca="1" si="56"/>
        <v>#VALUE!</v>
      </c>
      <c r="BG832" t="e">
        <f t="shared" ca="1" si="57"/>
        <v>#VALUE!</v>
      </c>
    </row>
    <row r="833" spans="57:59" x14ac:dyDescent="0.2">
      <c r="BE833" s="19">
        <f t="shared" si="58"/>
        <v>0.74236111111110914</v>
      </c>
      <c r="BF833" t="e">
        <f t="shared" ca="1" si="56"/>
        <v>#VALUE!</v>
      </c>
      <c r="BG833" t="e">
        <f t="shared" ca="1" si="57"/>
        <v>#VALUE!</v>
      </c>
    </row>
    <row r="834" spans="57:59" x14ac:dyDescent="0.2">
      <c r="BE834" s="19">
        <f t="shared" si="58"/>
        <v>0.74305555555555358</v>
      </c>
      <c r="BF834" t="e">
        <f t="shared" ca="1" si="56"/>
        <v>#VALUE!</v>
      </c>
      <c r="BG834" t="e">
        <f t="shared" ca="1" si="57"/>
        <v>#VALUE!</v>
      </c>
    </row>
    <row r="835" spans="57:59" x14ac:dyDescent="0.2">
      <c r="BE835" s="19">
        <f t="shared" si="58"/>
        <v>0.74374999999999802</v>
      </c>
      <c r="BF835" t="e">
        <f t="shared" ca="1" si="56"/>
        <v>#VALUE!</v>
      </c>
      <c r="BG835" t="e">
        <f t="shared" ca="1" si="57"/>
        <v>#VALUE!</v>
      </c>
    </row>
    <row r="836" spans="57:59" x14ac:dyDescent="0.2">
      <c r="BE836" s="19">
        <f t="shared" si="58"/>
        <v>0.74444444444444247</v>
      </c>
      <c r="BF836" t="e">
        <f t="shared" ref="BF836:BF899" ca="1" si="59">IF(BG836=0,AVERAGE(OFFSET(BH836,0,0,1,$A$1-1)),AVERAGE(BG836,OFFSET(BH836,0,0,1,$A$1-1)))</f>
        <v>#VALUE!</v>
      </c>
      <c r="BG836" t="e">
        <f t="shared" ca="1" si="57"/>
        <v>#VALUE!</v>
      </c>
    </row>
    <row r="837" spans="57:59" x14ac:dyDescent="0.2">
      <c r="BE837" s="19">
        <f t="shared" si="58"/>
        <v>0.74513888888888691</v>
      </c>
      <c r="BF837" t="e">
        <f t="shared" ca="1" si="59"/>
        <v>#VALUE!</v>
      </c>
      <c r="BG837" t="e">
        <f t="shared" ref="BG837:BG900" ca="1" si="60">IF(BE837&lt;$B$5-1/1440,0,OFFSET($AA$4,(BE837-$B$4)*1440,0,1,1))</f>
        <v>#VALUE!</v>
      </c>
    </row>
    <row r="838" spans="57:59" x14ac:dyDescent="0.2">
      <c r="BE838" s="19">
        <f t="shared" ref="BE838:BE901" si="61">BE837+1/1440</f>
        <v>0.74583333333333135</v>
      </c>
      <c r="BF838" t="e">
        <f t="shared" ca="1" si="59"/>
        <v>#VALUE!</v>
      </c>
      <c r="BG838" t="e">
        <f t="shared" ca="1" si="60"/>
        <v>#VALUE!</v>
      </c>
    </row>
    <row r="839" spans="57:59" x14ac:dyDescent="0.2">
      <c r="BE839" s="19">
        <f t="shared" si="61"/>
        <v>0.74652777777777579</v>
      </c>
      <c r="BF839" t="e">
        <f t="shared" ca="1" si="59"/>
        <v>#VALUE!</v>
      </c>
      <c r="BG839" t="e">
        <f t="shared" ca="1" si="60"/>
        <v>#VALUE!</v>
      </c>
    </row>
    <row r="840" spans="57:59" x14ac:dyDescent="0.2">
      <c r="BE840" s="19">
        <f t="shared" si="61"/>
        <v>0.74722222222222023</v>
      </c>
      <c r="BF840" t="e">
        <f t="shared" ca="1" si="59"/>
        <v>#VALUE!</v>
      </c>
      <c r="BG840" t="e">
        <f t="shared" ca="1" si="60"/>
        <v>#VALUE!</v>
      </c>
    </row>
    <row r="841" spans="57:59" x14ac:dyDescent="0.2">
      <c r="BE841" s="19">
        <f t="shared" si="61"/>
        <v>0.74791666666666468</v>
      </c>
      <c r="BF841" t="e">
        <f t="shared" ca="1" si="59"/>
        <v>#VALUE!</v>
      </c>
      <c r="BG841" t="e">
        <f t="shared" ca="1" si="60"/>
        <v>#VALUE!</v>
      </c>
    </row>
    <row r="842" spans="57:59" x14ac:dyDescent="0.2">
      <c r="BE842" s="19">
        <f t="shared" si="61"/>
        <v>0.74861111111110912</v>
      </c>
      <c r="BF842" t="e">
        <f t="shared" ca="1" si="59"/>
        <v>#VALUE!</v>
      </c>
      <c r="BG842" t="e">
        <f t="shared" ca="1" si="60"/>
        <v>#VALUE!</v>
      </c>
    </row>
    <row r="843" spans="57:59" x14ac:dyDescent="0.2">
      <c r="BE843" s="19">
        <f t="shared" si="61"/>
        <v>0.74930555555555356</v>
      </c>
      <c r="BF843" t="e">
        <f t="shared" ca="1" si="59"/>
        <v>#VALUE!</v>
      </c>
      <c r="BG843" t="e">
        <f t="shared" ca="1" si="60"/>
        <v>#VALUE!</v>
      </c>
    </row>
    <row r="844" spans="57:59" x14ac:dyDescent="0.2">
      <c r="BE844" s="19">
        <f t="shared" si="61"/>
        <v>0.749999999999998</v>
      </c>
      <c r="BF844" t="e">
        <f t="shared" ca="1" si="59"/>
        <v>#VALUE!</v>
      </c>
      <c r="BG844" t="e">
        <f t="shared" ca="1" si="60"/>
        <v>#VALUE!</v>
      </c>
    </row>
    <row r="845" spans="57:59" x14ac:dyDescent="0.2">
      <c r="BE845" s="19">
        <f t="shared" si="61"/>
        <v>0.75069444444444244</v>
      </c>
      <c r="BF845" t="e">
        <f t="shared" ca="1" si="59"/>
        <v>#VALUE!</v>
      </c>
      <c r="BG845" t="e">
        <f t="shared" ca="1" si="60"/>
        <v>#VALUE!</v>
      </c>
    </row>
    <row r="846" spans="57:59" x14ac:dyDescent="0.2">
      <c r="BE846" s="19">
        <f t="shared" si="61"/>
        <v>0.75138888888888689</v>
      </c>
      <c r="BF846" t="e">
        <f t="shared" ca="1" si="59"/>
        <v>#VALUE!</v>
      </c>
      <c r="BG846" t="e">
        <f t="shared" ca="1" si="60"/>
        <v>#VALUE!</v>
      </c>
    </row>
    <row r="847" spans="57:59" x14ac:dyDescent="0.2">
      <c r="BE847" s="19">
        <f t="shared" si="61"/>
        <v>0.75208333333333133</v>
      </c>
      <c r="BF847" t="e">
        <f t="shared" ca="1" si="59"/>
        <v>#VALUE!</v>
      </c>
      <c r="BG847" t="e">
        <f t="shared" ca="1" si="60"/>
        <v>#VALUE!</v>
      </c>
    </row>
    <row r="848" spans="57:59" x14ac:dyDescent="0.2">
      <c r="BE848" s="19">
        <f t="shared" si="61"/>
        <v>0.75277777777777577</v>
      </c>
      <c r="BF848" t="e">
        <f t="shared" ca="1" si="59"/>
        <v>#VALUE!</v>
      </c>
      <c r="BG848" t="e">
        <f t="shared" ca="1" si="60"/>
        <v>#VALUE!</v>
      </c>
    </row>
    <row r="849" spans="57:59" x14ac:dyDescent="0.2">
      <c r="BE849" s="19">
        <f t="shared" si="61"/>
        <v>0.75347222222222021</v>
      </c>
      <c r="BF849" t="e">
        <f t="shared" ca="1" si="59"/>
        <v>#VALUE!</v>
      </c>
      <c r="BG849" t="e">
        <f t="shared" ca="1" si="60"/>
        <v>#VALUE!</v>
      </c>
    </row>
    <row r="850" spans="57:59" x14ac:dyDescent="0.2">
      <c r="BE850" s="19">
        <f t="shared" si="61"/>
        <v>0.75416666666666465</v>
      </c>
      <c r="BF850" t="e">
        <f t="shared" ca="1" si="59"/>
        <v>#VALUE!</v>
      </c>
      <c r="BG850" t="e">
        <f t="shared" ca="1" si="60"/>
        <v>#VALUE!</v>
      </c>
    </row>
    <row r="851" spans="57:59" x14ac:dyDescent="0.2">
      <c r="BE851" s="19">
        <f t="shared" si="61"/>
        <v>0.7548611111111091</v>
      </c>
      <c r="BF851" t="e">
        <f t="shared" ca="1" si="59"/>
        <v>#VALUE!</v>
      </c>
      <c r="BG851" t="e">
        <f t="shared" ca="1" si="60"/>
        <v>#VALUE!</v>
      </c>
    </row>
    <row r="852" spans="57:59" x14ac:dyDescent="0.2">
      <c r="BE852" s="19">
        <f t="shared" si="61"/>
        <v>0.75555555555555354</v>
      </c>
      <c r="BF852" t="e">
        <f t="shared" ca="1" si="59"/>
        <v>#VALUE!</v>
      </c>
      <c r="BG852" t="e">
        <f t="shared" ca="1" si="60"/>
        <v>#VALUE!</v>
      </c>
    </row>
    <row r="853" spans="57:59" x14ac:dyDescent="0.2">
      <c r="BE853" s="19">
        <f t="shared" si="61"/>
        <v>0.75624999999999798</v>
      </c>
      <c r="BF853" t="e">
        <f t="shared" ca="1" si="59"/>
        <v>#VALUE!</v>
      </c>
      <c r="BG853" t="e">
        <f t="shared" ca="1" si="60"/>
        <v>#VALUE!</v>
      </c>
    </row>
    <row r="854" spans="57:59" x14ac:dyDescent="0.2">
      <c r="BE854" s="19">
        <f t="shared" si="61"/>
        <v>0.75694444444444242</v>
      </c>
      <c r="BF854" t="e">
        <f t="shared" ca="1" si="59"/>
        <v>#VALUE!</v>
      </c>
      <c r="BG854" t="e">
        <f t="shared" ca="1" si="60"/>
        <v>#VALUE!</v>
      </c>
    </row>
    <row r="855" spans="57:59" x14ac:dyDescent="0.2">
      <c r="BE855" s="19">
        <f t="shared" si="61"/>
        <v>0.75763888888888686</v>
      </c>
      <c r="BF855" t="e">
        <f t="shared" ca="1" si="59"/>
        <v>#VALUE!</v>
      </c>
      <c r="BG855" t="e">
        <f t="shared" ca="1" si="60"/>
        <v>#VALUE!</v>
      </c>
    </row>
    <row r="856" spans="57:59" x14ac:dyDescent="0.2">
      <c r="BE856" s="19">
        <f t="shared" si="61"/>
        <v>0.75833333333333131</v>
      </c>
      <c r="BF856" t="e">
        <f t="shared" ca="1" si="59"/>
        <v>#VALUE!</v>
      </c>
      <c r="BG856" t="e">
        <f t="shared" ca="1" si="60"/>
        <v>#VALUE!</v>
      </c>
    </row>
    <row r="857" spans="57:59" x14ac:dyDescent="0.2">
      <c r="BE857" s="19">
        <f t="shared" si="61"/>
        <v>0.75902777777777575</v>
      </c>
      <c r="BF857" t="e">
        <f t="shared" ca="1" si="59"/>
        <v>#VALUE!</v>
      </c>
      <c r="BG857" t="e">
        <f t="shared" ca="1" si="60"/>
        <v>#VALUE!</v>
      </c>
    </row>
    <row r="858" spans="57:59" x14ac:dyDescent="0.2">
      <c r="BE858" s="19">
        <f t="shared" si="61"/>
        <v>0.75972222222222019</v>
      </c>
      <c r="BF858" t="e">
        <f t="shared" ca="1" si="59"/>
        <v>#VALUE!</v>
      </c>
      <c r="BG858" t="e">
        <f t="shared" ca="1" si="60"/>
        <v>#VALUE!</v>
      </c>
    </row>
    <row r="859" spans="57:59" x14ac:dyDescent="0.2">
      <c r="BE859" s="19">
        <f t="shared" si="61"/>
        <v>0.76041666666666463</v>
      </c>
      <c r="BF859" t="e">
        <f t="shared" ca="1" si="59"/>
        <v>#VALUE!</v>
      </c>
      <c r="BG859" t="e">
        <f t="shared" ca="1" si="60"/>
        <v>#VALUE!</v>
      </c>
    </row>
    <row r="860" spans="57:59" x14ac:dyDescent="0.2">
      <c r="BE860" s="19">
        <f t="shared" si="61"/>
        <v>0.76111111111110907</v>
      </c>
      <c r="BF860" t="e">
        <f t="shared" ca="1" si="59"/>
        <v>#VALUE!</v>
      </c>
      <c r="BG860" t="e">
        <f t="shared" ca="1" si="60"/>
        <v>#VALUE!</v>
      </c>
    </row>
    <row r="861" spans="57:59" x14ac:dyDescent="0.2">
      <c r="BE861" s="19">
        <f t="shared" si="61"/>
        <v>0.76180555555555352</v>
      </c>
      <c r="BF861" t="e">
        <f t="shared" ca="1" si="59"/>
        <v>#VALUE!</v>
      </c>
      <c r="BG861" t="e">
        <f t="shared" ca="1" si="60"/>
        <v>#VALUE!</v>
      </c>
    </row>
    <row r="862" spans="57:59" x14ac:dyDescent="0.2">
      <c r="BE862" s="19">
        <f t="shared" si="61"/>
        <v>0.76249999999999796</v>
      </c>
      <c r="BF862" t="e">
        <f t="shared" ca="1" si="59"/>
        <v>#VALUE!</v>
      </c>
      <c r="BG862" t="e">
        <f t="shared" ca="1" si="60"/>
        <v>#VALUE!</v>
      </c>
    </row>
    <row r="863" spans="57:59" x14ac:dyDescent="0.2">
      <c r="BE863" s="19">
        <f t="shared" si="61"/>
        <v>0.7631944444444424</v>
      </c>
      <c r="BF863" t="e">
        <f t="shared" ca="1" si="59"/>
        <v>#VALUE!</v>
      </c>
      <c r="BG863" t="e">
        <f t="shared" ca="1" si="60"/>
        <v>#VALUE!</v>
      </c>
    </row>
    <row r="864" spans="57:59" x14ac:dyDescent="0.2">
      <c r="BE864" s="19">
        <f t="shared" si="61"/>
        <v>0.76388888888888684</v>
      </c>
      <c r="BF864" t="e">
        <f t="shared" ca="1" si="59"/>
        <v>#VALUE!</v>
      </c>
      <c r="BG864" t="e">
        <f t="shared" ca="1" si="60"/>
        <v>#VALUE!</v>
      </c>
    </row>
    <row r="865" spans="57:59" x14ac:dyDescent="0.2">
      <c r="BE865" s="19">
        <f t="shared" si="61"/>
        <v>0.76458333333333128</v>
      </c>
      <c r="BF865" t="e">
        <f t="shared" ca="1" si="59"/>
        <v>#VALUE!</v>
      </c>
      <c r="BG865" t="e">
        <f t="shared" ca="1" si="60"/>
        <v>#VALUE!</v>
      </c>
    </row>
    <row r="866" spans="57:59" x14ac:dyDescent="0.2">
      <c r="BE866" s="19">
        <f t="shared" si="61"/>
        <v>0.76527777777777573</v>
      </c>
      <c r="BF866" t="e">
        <f t="shared" ca="1" si="59"/>
        <v>#VALUE!</v>
      </c>
      <c r="BG866" t="e">
        <f t="shared" ca="1" si="60"/>
        <v>#VALUE!</v>
      </c>
    </row>
    <row r="867" spans="57:59" x14ac:dyDescent="0.2">
      <c r="BE867" s="19">
        <f t="shared" si="61"/>
        <v>0.76597222222222017</v>
      </c>
      <c r="BF867" t="e">
        <f t="shared" ca="1" si="59"/>
        <v>#VALUE!</v>
      </c>
      <c r="BG867" t="e">
        <f t="shared" ca="1" si="60"/>
        <v>#VALUE!</v>
      </c>
    </row>
    <row r="868" spans="57:59" x14ac:dyDescent="0.2">
      <c r="BE868" s="19">
        <f t="shared" si="61"/>
        <v>0.76666666666666461</v>
      </c>
      <c r="BF868" t="e">
        <f t="shared" ca="1" si="59"/>
        <v>#VALUE!</v>
      </c>
      <c r="BG868" t="e">
        <f t="shared" ca="1" si="60"/>
        <v>#VALUE!</v>
      </c>
    </row>
    <row r="869" spans="57:59" x14ac:dyDescent="0.2">
      <c r="BE869" s="19">
        <f t="shared" si="61"/>
        <v>0.76736111111110905</v>
      </c>
      <c r="BF869" t="e">
        <f t="shared" ca="1" si="59"/>
        <v>#VALUE!</v>
      </c>
      <c r="BG869" t="e">
        <f t="shared" ca="1" si="60"/>
        <v>#VALUE!</v>
      </c>
    </row>
    <row r="870" spans="57:59" x14ac:dyDescent="0.2">
      <c r="BE870" s="19">
        <f t="shared" si="61"/>
        <v>0.76805555555555349</v>
      </c>
      <c r="BF870" t="e">
        <f t="shared" ca="1" si="59"/>
        <v>#VALUE!</v>
      </c>
      <c r="BG870" t="e">
        <f t="shared" ca="1" si="60"/>
        <v>#VALUE!</v>
      </c>
    </row>
    <row r="871" spans="57:59" x14ac:dyDescent="0.2">
      <c r="BE871" s="19">
        <f t="shared" si="61"/>
        <v>0.76874999999999793</v>
      </c>
      <c r="BF871" t="e">
        <f t="shared" ca="1" si="59"/>
        <v>#VALUE!</v>
      </c>
      <c r="BG871" t="e">
        <f t="shared" ca="1" si="60"/>
        <v>#VALUE!</v>
      </c>
    </row>
    <row r="872" spans="57:59" x14ac:dyDescent="0.2">
      <c r="BE872" s="19">
        <f t="shared" si="61"/>
        <v>0.76944444444444238</v>
      </c>
      <c r="BF872" t="e">
        <f t="shared" ca="1" si="59"/>
        <v>#VALUE!</v>
      </c>
      <c r="BG872" t="e">
        <f t="shared" ca="1" si="60"/>
        <v>#VALUE!</v>
      </c>
    </row>
    <row r="873" spans="57:59" x14ac:dyDescent="0.2">
      <c r="BE873" s="19">
        <f t="shared" si="61"/>
        <v>0.77013888888888682</v>
      </c>
      <c r="BF873" t="e">
        <f t="shared" ca="1" si="59"/>
        <v>#VALUE!</v>
      </c>
      <c r="BG873" t="e">
        <f t="shared" ca="1" si="60"/>
        <v>#VALUE!</v>
      </c>
    </row>
    <row r="874" spans="57:59" x14ac:dyDescent="0.2">
      <c r="BE874" s="19">
        <f t="shared" si="61"/>
        <v>0.77083333333333126</v>
      </c>
      <c r="BF874" t="e">
        <f t="shared" ca="1" si="59"/>
        <v>#VALUE!</v>
      </c>
      <c r="BG874" t="e">
        <f t="shared" ca="1" si="60"/>
        <v>#VALUE!</v>
      </c>
    </row>
    <row r="875" spans="57:59" x14ac:dyDescent="0.2">
      <c r="BE875" s="19">
        <f t="shared" si="61"/>
        <v>0.7715277777777757</v>
      </c>
      <c r="BF875" t="e">
        <f t="shared" ca="1" si="59"/>
        <v>#VALUE!</v>
      </c>
      <c r="BG875" t="e">
        <f t="shared" ca="1" si="60"/>
        <v>#VALUE!</v>
      </c>
    </row>
    <row r="876" spans="57:59" x14ac:dyDescent="0.2">
      <c r="BE876" s="19">
        <f t="shared" si="61"/>
        <v>0.77222222222222014</v>
      </c>
      <c r="BF876" t="e">
        <f t="shared" ca="1" si="59"/>
        <v>#VALUE!</v>
      </c>
      <c r="BG876" t="e">
        <f t="shared" ca="1" si="60"/>
        <v>#VALUE!</v>
      </c>
    </row>
    <row r="877" spans="57:59" x14ac:dyDescent="0.2">
      <c r="BE877" s="19">
        <f t="shared" si="61"/>
        <v>0.77291666666666459</v>
      </c>
      <c r="BF877" t="e">
        <f t="shared" ca="1" si="59"/>
        <v>#VALUE!</v>
      </c>
      <c r="BG877" t="e">
        <f t="shared" ca="1" si="60"/>
        <v>#VALUE!</v>
      </c>
    </row>
    <row r="878" spans="57:59" x14ac:dyDescent="0.2">
      <c r="BE878" s="19">
        <f t="shared" si="61"/>
        <v>0.77361111111110903</v>
      </c>
      <c r="BF878" t="e">
        <f t="shared" ca="1" si="59"/>
        <v>#VALUE!</v>
      </c>
      <c r="BG878" t="e">
        <f t="shared" ca="1" si="60"/>
        <v>#VALUE!</v>
      </c>
    </row>
    <row r="879" spans="57:59" x14ac:dyDescent="0.2">
      <c r="BE879" s="19">
        <f t="shared" si="61"/>
        <v>0.77430555555555347</v>
      </c>
      <c r="BF879" t="e">
        <f t="shared" ca="1" si="59"/>
        <v>#VALUE!</v>
      </c>
      <c r="BG879" t="e">
        <f t="shared" ca="1" si="60"/>
        <v>#VALUE!</v>
      </c>
    </row>
    <row r="880" spans="57:59" x14ac:dyDescent="0.2">
      <c r="BE880" s="19">
        <f t="shared" si="61"/>
        <v>0.77499999999999791</v>
      </c>
      <c r="BF880" t="e">
        <f t="shared" ca="1" si="59"/>
        <v>#VALUE!</v>
      </c>
      <c r="BG880" t="e">
        <f t="shared" ca="1" si="60"/>
        <v>#VALUE!</v>
      </c>
    </row>
    <row r="881" spans="57:59" x14ac:dyDescent="0.2">
      <c r="BE881" s="19">
        <f t="shared" si="61"/>
        <v>0.77569444444444235</v>
      </c>
      <c r="BF881" t="e">
        <f t="shared" ca="1" si="59"/>
        <v>#VALUE!</v>
      </c>
      <c r="BG881" t="e">
        <f t="shared" ca="1" si="60"/>
        <v>#VALUE!</v>
      </c>
    </row>
    <row r="882" spans="57:59" x14ac:dyDescent="0.2">
      <c r="BE882" s="19">
        <f t="shared" si="61"/>
        <v>0.7763888888888868</v>
      </c>
      <c r="BF882" t="e">
        <f t="shared" ca="1" si="59"/>
        <v>#VALUE!</v>
      </c>
      <c r="BG882" t="e">
        <f t="shared" ca="1" si="60"/>
        <v>#VALUE!</v>
      </c>
    </row>
    <row r="883" spans="57:59" x14ac:dyDescent="0.2">
      <c r="BE883" s="19">
        <f t="shared" si="61"/>
        <v>0.77708333333333124</v>
      </c>
      <c r="BF883" t="e">
        <f t="shared" ca="1" si="59"/>
        <v>#VALUE!</v>
      </c>
      <c r="BG883" t="e">
        <f t="shared" ca="1" si="60"/>
        <v>#VALUE!</v>
      </c>
    </row>
    <row r="884" spans="57:59" x14ac:dyDescent="0.2">
      <c r="BE884" s="19">
        <f t="shared" si="61"/>
        <v>0.77777777777777568</v>
      </c>
      <c r="BF884" t="e">
        <f t="shared" ca="1" si="59"/>
        <v>#VALUE!</v>
      </c>
      <c r="BG884" t="e">
        <f t="shared" ca="1" si="60"/>
        <v>#VALUE!</v>
      </c>
    </row>
    <row r="885" spans="57:59" x14ac:dyDescent="0.2">
      <c r="BE885" s="19">
        <f t="shared" si="61"/>
        <v>0.77847222222222012</v>
      </c>
      <c r="BF885" t="e">
        <f t="shared" ca="1" si="59"/>
        <v>#VALUE!</v>
      </c>
      <c r="BG885" t="e">
        <f t="shared" ca="1" si="60"/>
        <v>#VALUE!</v>
      </c>
    </row>
    <row r="886" spans="57:59" x14ac:dyDescent="0.2">
      <c r="BE886" s="19">
        <f t="shared" si="61"/>
        <v>0.77916666666666456</v>
      </c>
      <c r="BF886" t="e">
        <f t="shared" ca="1" si="59"/>
        <v>#VALUE!</v>
      </c>
      <c r="BG886" t="e">
        <f t="shared" ca="1" si="60"/>
        <v>#VALUE!</v>
      </c>
    </row>
    <row r="887" spans="57:59" x14ac:dyDescent="0.2">
      <c r="BE887" s="19">
        <f t="shared" si="61"/>
        <v>0.77986111111110901</v>
      </c>
      <c r="BF887" t="e">
        <f t="shared" ca="1" si="59"/>
        <v>#VALUE!</v>
      </c>
      <c r="BG887" t="e">
        <f t="shared" ca="1" si="60"/>
        <v>#VALUE!</v>
      </c>
    </row>
    <row r="888" spans="57:59" x14ac:dyDescent="0.2">
      <c r="BE888" s="19">
        <f t="shared" si="61"/>
        <v>0.78055555555555345</v>
      </c>
      <c r="BF888" t="e">
        <f t="shared" ca="1" si="59"/>
        <v>#VALUE!</v>
      </c>
      <c r="BG888" t="e">
        <f t="shared" ca="1" si="60"/>
        <v>#VALUE!</v>
      </c>
    </row>
    <row r="889" spans="57:59" x14ac:dyDescent="0.2">
      <c r="BE889" s="19">
        <f t="shared" si="61"/>
        <v>0.78124999999999789</v>
      </c>
      <c r="BF889" t="e">
        <f t="shared" ca="1" si="59"/>
        <v>#VALUE!</v>
      </c>
      <c r="BG889" t="e">
        <f t="shared" ca="1" si="60"/>
        <v>#VALUE!</v>
      </c>
    </row>
    <row r="890" spans="57:59" x14ac:dyDescent="0.2">
      <c r="BE890" s="19">
        <f t="shared" si="61"/>
        <v>0.78194444444444233</v>
      </c>
      <c r="BF890" t="e">
        <f t="shared" ca="1" si="59"/>
        <v>#VALUE!</v>
      </c>
      <c r="BG890" t="e">
        <f t="shared" ca="1" si="60"/>
        <v>#VALUE!</v>
      </c>
    </row>
    <row r="891" spans="57:59" x14ac:dyDescent="0.2">
      <c r="BE891" s="19">
        <f t="shared" si="61"/>
        <v>0.78263888888888677</v>
      </c>
      <c r="BF891" t="e">
        <f t="shared" ca="1" si="59"/>
        <v>#VALUE!</v>
      </c>
      <c r="BG891" t="e">
        <f t="shared" ca="1" si="60"/>
        <v>#VALUE!</v>
      </c>
    </row>
    <row r="892" spans="57:59" x14ac:dyDescent="0.2">
      <c r="BE892" s="19">
        <f t="shared" si="61"/>
        <v>0.78333333333333122</v>
      </c>
      <c r="BF892" t="e">
        <f t="shared" ca="1" si="59"/>
        <v>#VALUE!</v>
      </c>
      <c r="BG892" t="e">
        <f t="shared" ca="1" si="60"/>
        <v>#VALUE!</v>
      </c>
    </row>
    <row r="893" spans="57:59" x14ac:dyDescent="0.2">
      <c r="BE893" s="19">
        <f t="shared" si="61"/>
        <v>0.78402777777777566</v>
      </c>
      <c r="BF893" t="e">
        <f t="shared" ca="1" si="59"/>
        <v>#VALUE!</v>
      </c>
      <c r="BG893" t="e">
        <f t="shared" ca="1" si="60"/>
        <v>#VALUE!</v>
      </c>
    </row>
    <row r="894" spans="57:59" x14ac:dyDescent="0.2">
      <c r="BE894" s="19">
        <f t="shared" si="61"/>
        <v>0.7847222222222201</v>
      </c>
      <c r="BF894" t="e">
        <f t="shared" ca="1" si="59"/>
        <v>#VALUE!</v>
      </c>
      <c r="BG894" t="e">
        <f t="shared" ca="1" si="60"/>
        <v>#VALUE!</v>
      </c>
    </row>
    <row r="895" spans="57:59" x14ac:dyDescent="0.2">
      <c r="BE895" s="19">
        <f t="shared" si="61"/>
        <v>0.78541666666666454</v>
      </c>
      <c r="BF895" t="e">
        <f t="shared" ca="1" si="59"/>
        <v>#VALUE!</v>
      </c>
      <c r="BG895" t="e">
        <f t="shared" ca="1" si="60"/>
        <v>#VALUE!</v>
      </c>
    </row>
    <row r="896" spans="57:59" x14ac:dyDescent="0.2">
      <c r="BE896" s="19">
        <f t="shared" si="61"/>
        <v>0.78611111111110898</v>
      </c>
      <c r="BF896" t="e">
        <f t="shared" ca="1" si="59"/>
        <v>#VALUE!</v>
      </c>
      <c r="BG896" t="e">
        <f t="shared" ca="1" si="60"/>
        <v>#VALUE!</v>
      </c>
    </row>
    <row r="897" spans="57:59" x14ac:dyDescent="0.2">
      <c r="BE897" s="19">
        <f t="shared" si="61"/>
        <v>0.78680555555555343</v>
      </c>
      <c r="BF897" t="e">
        <f t="shared" ca="1" si="59"/>
        <v>#VALUE!</v>
      </c>
      <c r="BG897" t="e">
        <f t="shared" ca="1" si="60"/>
        <v>#VALUE!</v>
      </c>
    </row>
    <row r="898" spans="57:59" x14ac:dyDescent="0.2">
      <c r="BE898" s="19">
        <f t="shared" si="61"/>
        <v>0.78749999999999787</v>
      </c>
      <c r="BF898" t="e">
        <f t="shared" ca="1" si="59"/>
        <v>#VALUE!</v>
      </c>
      <c r="BG898" t="e">
        <f t="shared" ca="1" si="60"/>
        <v>#VALUE!</v>
      </c>
    </row>
    <row r="899" spans="57:59" x14ac:dyDescent="0.2">
      <c r="BE899" s="19">
        <f t="shared" si="61"/>
        <v>0.78819444444444231</v>
      </c>
      <c r="BF899" t="e">
        <f t="shared" ca="1" si="59"/>
        <v>#VALUE!</v>
      </c>
      <c r="BG899" t="e">
        <f t="shared" ca="1" si="60"/>
        <v>#VALUE!</v>
      </c>
    </row>
    <row r="900" spans="57:59" x14ac:dyDescent="0.2">
      <c r="BE900" s="19">
        <f t="shared" si="61"/>
        <v>0.78888888888888675</v>
      </c>
      <c r="BF900" t="e">
        <f t="shared" ref="BF900:BF963" ca="1" si="62">IF(BG900=0,AVERAGE(OFFSET(BH900,0,0,1,$A$1-1)),AVERAGE(BG900,OFFSET(BH900,0,0,1,$A$1-1)))</f>
        <v>#VALUE!</v>
      </c>
      <c r="BG900" t="e">
        <f t="shared" ca="1" si="60"/>
        <v>#VALUE!</v>
      </c>
    </row>
    <row r="901" spans="57:59" x14ac:dyDescent="0.2">
      <c r="BE901" s="19">
        <f t="shared" si="61"/>
        <v>0.78958333333333119</v>
      </c>
      <c r="BF901" t="e">
        <f t="shared" ca="1" si="62"/>
        <v>#VALUE!</v>
      </c>
      <c r="BG901" t="e">
        <f t="shared" ref="BG901:BG964" ca="1" si="63">IF(BE901&lt;$B$5-1/1440,0,OFFSET($AA$4,(BE901-$B$4)*1440,0,1,1))</f>
        <v>#VALUE!</v>
      </c>
    </row>
    <row r="902" spans="57:59" x14ac:dyDescent="0.2">
      <c r="BE902" s="19">
        <f t="shared" ref="BE902:BE965" si="64">BE901+1/1440</f>
        <v>0.79027777777777564</v>
      </c>
      <c r="BF902" t="e">
        <f t="shared" ca="1" si="62"/>
        <v>#VALUE!</v>
      </c>
      <c r="BG902" t="e">
        <f t="shared" ca="1" si="63"/>
        <v>#VALUE!</v>
      </c>
    </row>
    <row r="903" spans="57:59" x14ac:dyDescent="0.2">
      <c r="BE903" s="19">
        <f t="shared" si="64"/>
        <v>0.79097222222222008</v>
      </c>
      <c r="BF903" t="e">
        <f t="shared" ca="1" si="62"/>
        <v>#VALUE!</v>
      </c>
      <c r="BG903" t="e">
        <f t="shared" ca="1" si="63"/>
        <v>#VALUE!</v>
      </c>
    </row>
    <row r="904" spans="57:59" x14ac:dyDescent="0.2">
      <c r="BE904" s="19">
        <f t="shared" si="64"/>
        <v>0.79166666666666452</v>
      </c>
      <c r="BF904" t="e">
        <f t="shared" ca="1" si="62"/>
        <v>#VALUE!</v>
      </c>
      <c r="BG904" t="e">
        <f t="shared" ca="1" si="63"/>
        <v>#VALUE!</v>
      </c>
    </row>
    <row r="905" spans="57:59" x14ac:dyDescent="0.2">
      <c r="BE905" s="19">
        <f t="shared" si="64"/>
        <v>0.79236111111110896</v>
      </c>
      <c r="BF905" t="e">
        <f t="shared" ca="1" si="62"/>
        <v>#VALUE!</v>
      </c>
      <c r="BG905" t="e">
        <f t="shared" ca="1" si="63"/>
        <v>#VALUE!</v>
      </c>
    </row>
    <row r="906" spans="57:59" x14ac:dyDescent="0.2">
      <c r="BE906" s="19">
        <f t="shared" si="64"/>
        <v>0.7930555555555534</v>
      </c>
      <c r="BF906" t="e">
        <f t="shared" ca="1" si="62"/>
        <v>#VALUE!</v>
      </c>
      <c r="BG906" t="e">
        <f t="shared" ca="1" si="63"/>
        <v>#VALUE!</v>
      </c>
    </row>
    <row r="907" spans="57:59" x14ac:dyDescent="0.2">
      <c r="BE907" s="19">
        <f t="shared" si="64"/>
        <v>0.79374999999999785</v>
      </c>
      <c r="BF907" t="e">
        <f t="shared" ca="1" si="62"/>
        <v>#VALUE!</v>
      </c>
      <c r="BG907" t="e">
        <f t="shared" ca="1" si="63"/>
        <v>#VALUE!</v>
      </c>
    </row>
    <row r="908" spans="57:59" x14ac:dyDescent="0.2">
      <c r="BE908" s="19">
        <f t="shared" si="64"/>
        <v>0.79444444444444229</v>
      </c>
      <c r="BF908" t="e">
        <f t="shared" ca="1" si="62"/>
        <v>#VALUE!</v>
      </c>
      <c r="BG908" t="e">
        <f t="shared" ca="1" si="63"/>
        <v>#VALUE!</v>
      </c>
    </row>
    <row r="909" spans="57:59" x14ac:dyDescent="0.2">
      <c r="BE909" s="19">
        <f t="shared" si="64"/>
        <v>0.79513888888888673</v>
      </c>
      <c r="BF909" t="e">
        <f t="shared" ca="1" si="62"/>
        <v>#VALUE!</v>
      </c>
      <c r="BG909" t="e">
        <f t="shared" ca="1" si="63"/>
        <v>#VALUE!</v>
      </c>
    </row>
    <row r="910" spans="57:59" x14ac:dyDescent="0.2">
      <c r="BE910" s="19">
        <f t="shared" si="64"/>
        <v>0.79583333333333117</v>
      </c>
      <c r="BF910" t="e">
        <f t="shared" ca="1" si="62"/>
        <v>#VALUE!</v>
      </c>
      <c r="BG910" t="e">
        <f t="shared" ca="1" si="63"/>
        <v>#VALUE!</v>
      </c>
    </row>
    <row r="911" spans="57:59" x14ac:dyDescent="0.2">
      <c r="BE911" s="19">
        <f t="shared" si="64"/>
        <v>0.79652777777777561</v>
      </c>
      <c r="BF911" t="e">
        <f t="shared" ca="1" si="62"/>
        <v>#VALUE!</v>
      </c>
      <c r="BG911" t="e">
        <f t="shared" ca="1" si="63"/>
        <v>#VALUE!</v>
      </c>
    </row>
    <row r="912" spans="57:59" x14ac:dyDescent="0.2">
      <c r="BE912" s="19">
        <f t="shared" si="64"/>
        <v>0.79722222222222006</v>
      </c>
      <c r="BF912" t="e">
        <f t="shared" ca="1" si="62"/>
        <v>#VALUE!</v>
      </c>
      <c r="BG912" t="e">
        <f t="shared" ca="1" si="63"/>
        <v>#VALUE!</v>
      </c>
    </row>
    <row r="913" spans="57:59" x14ac:dyDescent="0.2">
      <c r="BE913" s="19">
        <f t="shared" si="64"/>
        <v>0.7979166666666645</v>
      </c>
      <c r="BF913" t="e">
        <f t="shared" ca="1" si="62"/>
        <v>#VALUE!</v>
      </c>
      <c r="BG913" t="e">
        <f t="shared" ca="1" si="63"/>
        <v>#VALUE!</v>
      </c>
    </row>
    <row r="914" spans="57:59" x14ac:dyDescent="0.2">
      <c r="BE914" s="19">
        <f t="shared" si="64"/>
        <v>0.79861111111110894</v>
      </c>
      <c r="BF914" t="e">
        <f t="shared" ca="1" si="62"/>
        <v>#VALUE!</v>
      </c>
      <c r="BG914" t="e">
        <f t="shared" ca="1" si="63"/>
        <v>#VALUE!</v>
      </c>
    </row>
    <row r="915" spans="57:59" x14ac:dyDescent="0.2">
      <c r="BE915" s="19">
        <f t="shared" si="64"/>
        <v>0.79930555555555338</v>
      </c>
      <c r="BF915" t="e">
        <f t="shared" ca="1" si="62"/>
        <v>#VALUE!</v>
      </c>
      <c r="BG915" t="e">
        <f t="shared" ca="1" si="63"/>
        <v>#VALUE!</v>
      </c>
    </row>
    <row r="916" spans="57:59" x14ac:dyDescent="0.2">
      <c r="BE916" s="19">
        <f t="shared" si="64"/>
        <v>0.79999999999999782</v>
      </c>
      <c r="BF916" t="e">
        <f t="shared" ca="1" si="62"/>
        <v>#VALUE!</v>
      </c>
      <c r="BG916" t="e">
        <f t="shared" ca="1" si="63"/>
        <v>#VALUE!</v>
      </c>
    </row>
    <row r="917" spans="57:59" x14ac:dyDescent="0.2">
      <c r="BE917" s="19">
        <f t="shared" si="64"/>
        <v>0.80069444444444227</v>
      </c>
      <c r="BF917" t="e">
        <f t="shared" ca="1" si="62"/>
        <v>#VALUE!</v>
      </c>
      <c r="BG917" t="e">
        <f t="shared" ca="1" si="63"/>
        <v>#VALUE!</v>
      </c>
    </row>
    <row r="918" spans="57:59" x14ac:dyDescent="0.2">
      <c r="BE918" s="19">
        <f t="shared" si="64"/>
        <v>0.80138888888888671</v>
      </c>
      <c r="BF918" t="e">
        <f t="shared" ca="1" si="62"/>
        <v>#VALUE!</v>
      </c>
      <c r="BG918" t="e">
        <f t="shared" ca="1" si="63"/>
        <v>#VALUE!</v>
      </c>
    </row>
    <row r="919" spans="57:59" x14ac:dyDescent="0.2">
      <c r="BE919" s="19">
        <f t="shared" si="64"/>
        <v>0.80208333333333115</v>
      </c>
      <c r="BF919" t="e">
        <f t="shared" ca="1" si="62"/>
        <v>#VALUE!</v>
      </c>
      <c r="BG919" t="e">
        <f t="shared" ca="1" si="63"/>
        <v>#VALUE!</v>
      </c>
    </row>
    <row r="920" spans="57:59" x14ac:dyDescent="0.2">
      <c r="BE920" s="19">
        <f t="shared" si="64"/>
        <v>0.80277777777777559</v>
      </c>
      <c r="BF920" t="e">
        <f t="shared" ca="1" si="62"/>
        <v>#VALUE!</v>
      </c>
      <c r="BG920" t="e">
        <f t="shared" ca="1" si="63"/>
        <v>#VALUE!</v>
      </c>
    </row>
    <row r="921" spans="57:59" x14ac:dyDescent="0.2">
      <c r="BE921" s="19">
        <f t="shared" si="64"/>
        <v>0.80347222222222003</v>
      </c>
      <c r="BF921" t="e">
        <f t="shared" ca="1" si="62"/>
        <v>#VALUE!</v>
      </c>
      <c r="BG921" t="e">
        <f t="shared" ca="1" si="63"/>
        <v>#VALUE!</v>
      </c>
    </row>
    <row r="922" spans="57:59" x14ac:dyDescent="0.2">
      <c r="BE922" s="19">
        <f t="shared" si="64"/>
        <v>0.80416666666666448</v>
      </c>
      <c r="BF922" t="e">
        <f t="shared" ca="1" si="62"/>
        <v>#VALUE!</v>
      </c>
      <c r="BG922" t="e">
        <f t="shared" ca="1" si="63"/>
        <v>#VALUE!</v>
      </c>
    </row>
    <row r="923" spans="57:59" x14ac:dyDescent="0.2">
      <c r="BE923" s="19">
        <f t="shared" si="64"/>
        <v>0.80486111111110892</v>
      </c>
      <c r="BF923" t="e">
        <f t="shared" ca="1" si="62"/>
        <v>#VALUE!</v>
      </c>
      <c r="BG923" t="e">
        <f t="shared" ca="1" si="63"/>
        <v>#VALUE!</v>
      </c>
    </row>
    <row r="924" spans="57:59" x14ac:dyDescent="0.2">
      <c r="BE924" s="19">
        <f t="shared" si="64"/>
        <v>0.80555555555555336</v>
      </c>
      <c r="BF924" t="e">
        <f t="shared" ca="1" si="62"/>
        <v>#VALUE!</v>
      </c>
      <c r="BG924" t="e">
        <f t="shared" ca="1" si="63"/>
        <v>#VALUE!</v>
      </c>
    </row>
    <row r="925" spans="57:59" x14ac:dyDescent="0.2">
      <c r="BE925" s="19">
        <f t="shared" si="64"/>
        <v>0.8062499999999978</v>
      </c>
      <c r="BF925" t="e">
        <f t="shared" ca="1" si="62"/>
        <v>#VALUE!</v>
      </c>
      <c r="BG925" t="e">
        <f t="shared" ca="1" si="63"/>
        <v>#VALUE!</v>
      </c>
    </row>
    <row r="926" spans="57:59" x14ac:dyDescent="0.2">
      <c r="BE926" s="19">
        <f t="shared" si="64"/>
        <v>0.80694444444444224</v>
      </c>
      <c r="BF926" t="e">
        <f t="shared" ca="1" si="62"/>
        <v>#VALUE!</v>
      </c>
      <c r="BG926" t="e">
        <f t="shared" ca="1" si="63"/>
        <v>#VALUE!</v>
      </c>
    </row>
    <row r="927" spans="57:59" x14ac:dyDescent="0.2">
      <c r="BE927" s="19">
        <f t="shared" si="64"/>
        <v>0.80763888888888669</v>
      </c>
      <c r="BF927" t="e">
        <f t="shared" ca="1" si="62"/>
        <v>#VALUE!</v>
      </c>
      <c r="BG927" t="e">
        <f t="shared" ca="1" si="63"/>
        <v>#VALUE!</v>
      </c>
    </row>
    <row r="928" spans="57:59" x14ac:dyDescent="0.2">
      <c r="BE928" s="19">
        <f t="shared" si="64"/>
        <v>0.80833333333333113</v>
      </c>
      <c r="BF928" t="e">
        <f t="shared" ca="1" si="62"/>
        <v>#VALUE!</v>
      </c>
      <c r="BG928" t="e">
        <f t="shared" ca="1" si="63"/>
        <v>#VALUE!</v>
      </c>
    </row>
    <row r="929" spans="57:59" x14ac:dyDescent="0.2">
      <c r="BE929" s="19">
        <f t="shared" si="64"/>
        <v>0.80902777777777557</v>
      </c>
      <c r="BF929" t="e">
        <f t="shared" ca="1" si="62"/>
        <v>#VALUE!</v>
      </c>
      <c r="BG929" t="e">
        <f t="shared" ca="1" si="63"/>
        <v>#VALUE!</v>
      </c>
    </row>
    <row r="930" spans="57:59" x14ac:dyDescent="0.2">
      <c r="BE930" s="19">
        <f t="shared" si="64"/>
        <v>0.80972222222222001</v>
      </c>
      <c r="BF930" t="e">
        <f t="shared" ca="1" si="62"/>
        <v>#VALUE!</v>
      </c>
      <c r="BG930" t="e">
        <f t="shared" ca="1" si="63"/>
        <v>#VALUE!</v>
      </c>
    </row>
    <row r="931" spans="57:59" x14ac:dyDescent="0.2">
      <c r="BE931" s="19">
        <f t="shared" si="64"/>
        <v>0.81041666666666445</v>
      </c>
      <c r="BF931" t="e">
        <f t="shared" ca="1" si="62"/>
        <v>#VALUE!</v>
      </c>
      <c r="BG931" t="e">
        <f t="shared" ca="1" si="63"/>
        <v>#VALUE!</v>
      </c>
    </row>
    <row r="932" spans="57:59" x14ac:dyDescent="0.2">
      <c r="BE932" s="19">
        <f t="shared" si="64"/>
        <v>0.8111111111111089</v>
      </c>
      <c r="BF932" t="e">
        <f t="shared" ca="1" si="62"/>
        <v>#VALUE!</v>
      </c>
      <c r="BG932" t="e">
        <f t="shared" ca="1" si="63"/>
        <v>#VALUE!</v>
      </c>
    </row>
    <row r="933" spans="57:59" x14ac:dyDescent="0.2">
      <c r="BE933" s="19">
        <f t="shared" si="64"/>
        <v>0.81180555555555334</v>
      </c>
      <c r="BF933" t="e">
        <f t="shared" ca="1" si="62"/>
        <v>#VALUE!</v>
      </c>
      <c r="BG933" t="e">
        <f t="shared" ca="1" si="63"/>
        <v>#VALUE!</v>
      </c>
    </row>
    <row r="934" spans="57:59" x14ac:dyDescent="0.2">
      <c r="BE934" s="19">
        <f t="shared" si="64"/>
        <v>0.81249999999999778</v>
      </c>
      <c r="BF934" t="e">
        <f t="shared" ca="1" si="62"/>
        <v>#VALUE!</v>
      </c>
      <c r="BG934" t="e">
        <f t="shared" ca="1" si="63"/>
        <v>#VALUE!</v>
      </c>
    </row>
    <row r="935" spans="57:59" x14ac:dyDescent="0.2">
      <c r="BE935" s="19">
        <f t="shared" si="64"/>
        <v>0.81319444444444222</v>
      </c>
      <c r="BF935" t="e">
        <f t="shared" ca="1" si="62"/>
        <v>#VALUE!</v>
      </c>
      <c r="BG935" t="e">
        <f t="shared" ca="1" si="63"/>
        <v>#VALUE!</v>
      </c>
    </row>
    <row r="936" spans="57:59" x14ac:dyDescent="0.2">
      <c r="BE936" s="19">
        <f t="shared" si="64"/>
        <v>0.81388888888888666</v>
      </c>
      <c r="BF936" t="e">
        <f t="shared" ca="1" si="62"/>
        <v>#VALUE!</v>
      </c>
      <c r="BG936" t="e">
        <f t="shared" ca="1" si="63"/>
        <v>#VALUE!</v>
      </c>
    </row>
    <row r="937" spans="57:59" x14ac:dyDescent="0.2">
      <c r="BE937" s="19">
        <f t="shared" si="64"/>
        <v>0.81458333333333111</v>
      </c>
      <c r="BF937" t="e">
        <f t="shared" ca="1" si="62"/>
        <v>#VALUE!</v>
      </c>
      <c r="BG937" t="e">
        <f t="shared" ca="1" si="63"/>
        <v>#VALUE!</v>
      </c>
    </row>
    <row r="938" spans="57:59" x14ac:dyDescent="0.2">
      <c r="BE938" s="19">
        <f t="shared" si="64"/>
        <v>0.81527777777777555</v>
      </c>
      <c r="BF938" t="e">
        <f t="shared" ca="1" si="62"/>
        <v>#VALUE!</v>
      </c>
      <c r="BG938" t="e">
        <f t="shared" ca="1" si="63"/>
        <v>#VALUE!</v>
      </c>
    </row>
    <row r="939" spans="57:59" x14ac:dyDescent="0.2">
      <c r="BE939" s="19">
        <f t="shared" si="64"/>
        <v>0.81597222222221999</v>
      </c>
      <c r="BF939" t="e">
        <f t="shared" ca="1" si="62"/>
        <v>#VALUE!</v>
      </c>
      <c r="BG939" t="e">
        <f t="shared" ca="1" si="63"/>
        <v>#VALUE!</v>
      </c>
    </row>
    <row r="940" spans="57:59" x14ac:dyDescent="0.2">
      <c r="BE940" s="19">
        <f t="shared" si="64"/>
        <v>0.81666666666666443</v>
      </c>
      <c r="BF940" t="e">
        <f t="shared" ca="1" si="62"/>
        <v>#VALUE!</v>
      </c>
      <c r="BG940" t="e">
        <f t="shared" ca="1" si="63"/>
        <v>#VALUE!</v>
      </c>
    </row>
    <row r="941" spans="57:59" x14ac:dyDescent="0.2">
      <c r="BE941" s="19">
        <f t="shared" si="64"/>
        <v>0.81736111111110887</v>
      </c>
      <c r="BF941" t="e">
        <f t="shared" ca="1" si="62"/>
        <v>#VALUE!</v>
      </c>
      <c r="BG941" t="e">
        <f t="shared" ca="1" si="63"/>
        <v>#VALUE!</v>
      </c>
    </row>
    <row r="942" spans="57:59" x14ac:dyDescent="0.2">
      <c r="BE942" s="19">
        <f t="shared" si="64"/>
        <v>0.81805555555555332</v>
      </c>
      <c r="BF942" t="e">
        <f t="shared" ca="1" si="62"/>
        <v>#VALUE!</v>
      </c>
      <c r="BG942" t="e">
        <f t="shared" ca="1" si="63"/>
        <v>#VALUE!</v>
      </c>
    </row>
    <row r="943" spans="57:59" x14ac:dyDescent="0.2">
      <c r="BE943" s="19">
        <f t="shared" si="64"/>
        <v>0.81874999999999776</v>
      </c>
      <c r="BF943" t="e">
        <f t="shared" ca="1" si="62"/>
        <v>#VALUE!</v>
      </c>
      <c r="BG943" t="e">
        <f t="shared" ca="1" si="63"/>
        <v>#VALUE!</v>
      </c>
    </row>
    <row r="944" spans="57:59" x14ac:dyDescent="0.2">
      <c r="BE944" s="19">
        <f t="shared" si="64"/>
        <v>0.8194444444444422</v>
      </c>
      <c r="BF944" t="e">
        <f t="shared" ca="1" si="62"/>
        <v>#VALUE!</v>
      </c>
      <c r="BG944" t="e">
        <f t="shared" ca="1" si="63"/>
        <v>#VALUE!</v>
      </c>
    </row>
    <row r="945" spans="57:59" x14ac:dyDescent="0.2">
      <c r="BE945" s="19">
        <f t="shared" si="64"/>
        <v>0.82013888888888664</v>
      </c>
      <c r="BF945" t="e">
        <f t="shared" ca="1" si="62"/>
        <v>#VALUE!</v>
      </c>
      <c r="BG945" t="e">
        <f t="shared" ca="1" si="63"/>
        <v>#VALUE!</v>
      </c>
    </row>
    <row r="946" spans="57:59" x14ac:dyDescent="0.2">
      <c r="BE946" s="19">
        <f t="shared" si="64"/>
        <v>0.82083333333333108</v>
      </c>
      <c r="BF946" t="e">
        <f t="shared" ca="1" si="62"/>
        <v>#VALUE!</v>
      </c>
      <c r="BG946" t="e">
        <f t="shared" ca="1" si="63"/>
        <v>#VALUE!</v>
      </c>
    </row>
    <row r="947" spans="57:59" x14ac:dyDescent="0.2">
      <c r="BE947" s="19">
        <f t="shared" si="64"/>
        <v>0.82152777777777553</v>
      </c>
      <c r="BF947" t="e">
        <f t="shared" ca="1" si="62"/>
        <v>#VALUE!</v>
      </c>
      <c r="BG947" t="e">
        <f t="shared" ca="1" si="63"/>
        <v>#VALUE!</v>
      </c>
    </row>
    <row r="948" spans="57:59" x14ac:dyDescent="0.2">
      <c r="BE948" s="19">
        <f t="shared" si="64"/>
        <v>0.82222222222221997</v>
      </c>
      <c r="BF948" t="e">
        <f t="shared" ca="1" si="62"/>
        <v>#VALUE!</v>
      </c>
      <c r="BG948" t="e">
        <f t="shared" ca="1" si="63"/>
        <v>#VALUE!</v>
      </c>
    </row>
    <row r="949" spans="57:59" x14ac:dyDescent="0.2">
      <c r="BE949" s="19">
        <f t="shared" si="64"/>
        <v>0.82291666666666441</v>
      </c>
      <c r="BF949" t="e">
        <f t="shared" ca="1" si="62"/>
        <v>#VALUE!</v>
      </c>
      <c r="BG949" t="e">
        <f t="shared" ca="1" si="63"/>
        <v>#VALUE!</v>
      </c>
    </row>
    <row r="950" spans="57:59" x14ac:dyDescent="0.2">
      <c r="BE950" s="19">
        <f t="shared" si="64"/>
        <v>0.82361111111110885</v>
      </c>
      <c r="BF950" t="e">
        <f t="shared" ca="1" si="62"/>
        <v>#VALUE!</v>
      </c>
      <c r="BG950" t="e">
        <f t="shared" ca="1" si="63"/>
        <v>#VALUE!</v>
      </c>
    </row>
    <row r="951" spans="57:59" x14ac:dyDescent="0.2">
      <c r="BE951" s="19">
        <f t="shared" si="64"/>
        <v>0.82430555555555329</v>
      </c>
      <c r="BF951" t="e">
        <f t="shared" ca="1" si="62"/>
        <v>#VALUE!</v>
      </c>
      <c r="BG951" t="e">
        <f t="shared" ca="1" si="63"/>
        <v>#VALUE!</v>
      </c>
    </row>
    <row r="952" spans="57:59" x14ac:dyDescent="0.2">
      <c r="BE952" s="19">
        <f t="shared" si="64"/>
        <v>0.82499999999999774</v>
      </c>
      <c r="BF952" t="e">
        <f t="shared" ca="1" si="62"/>
        <v>#VALUE!</v>
      </c>
      <c r="BG952" t="e">
        <f t="shared" ca="1" si="63"/>
        <v>#VALUE!</v>
      </c>
    </row>
    <row r="953" spans="57:59" x14ac:dyDescent="0.2">
      <c r="BE953" s="19">
        <f t="shared" si="64"/>
        <v>0.82569444444444218</v>
      </c>
      <c r="BF953" t="e">
        <f t="shared" ca="1" si="62"/>
        <v>#VALUE!</v>
      </c>
      <c r="BG953" t="e">
        <f t="shared" ca="1" si="63"/>
        <v>#VALUE!</v>
      </c>
    </row>
    <row r="954" spans="57:59" x14ac:dyDescent="0.2">
      <c r="BE954" s="19">
        <f t="shared" si="64"/>
        <v>0.82638888888888662</v>
      </c>
      <c r="BF954" t="e">
        <f t="shared" ca="1" si="62"/>
        <v>#VALUE!</v>
      </c>
      <c r="BG954" t="e">
        <f t="shared" ca="1" si="63"/>
        <v>#VALUE!</v>
      </c>
    </row>
    <row r="955" spans="57:59" x14ac:dyDescent="0.2">
      <c r="BE955" s="19">
        <f t="shared" si="64"/>
        <v>0.82708333333333106</v>
      </c>
      <c r="BF955" t="e">
        <f t="shared" ca="1" si="62"/>
        <v>#VALUE!</v>
      </c>
      <c r="BG955" t="e">
        <f t="shared" ca="1" si="63"/>
        <v>#VALUE!</v>
      </c>
    </row>
    <row r="956" spans="57:59" x14ac:dyDescent="0.2">
      <c r="BE956" s="19">
        <f t="shared" si="64"/>
        <v>0.8277777777777755</v>
      </c>
      <c r="BF956" t="e">
        <f t="shared" ca="1" si="62"/>
        <v>#VALUE!</v>
      </c>
      <c r="BG956" t="e">
        <f t="shared" ca="1" si="63"/>
        <v>#VALUE!</v>
      </c>
    </row>
    <row r="957" spans="57:59" x14ac:dyDescent="0.2">
      <c r="BE957" s="19">
        <f t="shared" si="64"/>
        <v>0.82847222222221995</v>
      </c>
      <c r="BF957" t="e">
        <f t="shared" ca="1" si="62"/>
        <v>#VALUE!</v>
      </c>
      <c r="BG957" t="e">
        <f t="shared" ca="1" si="63"/>
        <v>#VALUE!</v>
      </c>
    </row>
    <row r="958" spans="57:59" x14ac:dyDescent="0.2">
      <c r="BE958" s="19">
        <f t="shared" si="64"/>
        <v>0.82916666666666439</v>
      </c>
      <c r="BF958" t="e">
        <f t="shared" ca="1" si="62"/>
        <v>#VALUE!</v>
      </c>
      <c r="BG958" t="e">
        <f t="shared" ca="1" si="63"/>
        <v>#VALUE!</v>
      </c>
    </row>
    <row r="959" spans="57:59" x14ac:dyDescent="0.2">
      <c r="BE959" s="19">
        <f t="shared" si="64"/>
        <v>0.82986111111110883</v>
      </c>
      <c r="BF959" t="e">
        <f t="shared" ca="1" si="62"/>
        <v>#VALUE!</v>
      </c>
      <c r="BG959" t="e">
        <f t="shared" ca="1" si="63"/>
        <v>#VALUE!</v>
      </c>
    </row>
    <row r="960" spans="57:59" x14ac:dyDescent="0.2">
      <c r="BE960" s="19">
        <f t="shared" si="64"/>
        <v>0.83055555555555327</v>
      </c>
      <c r="BF960" t="e">
        <f t="shared" ca="1" si="62"/>
        <v>#VALUE!</v>
      </c>
      <c r="BG960" t="e">
        <f t="shared" ca="1" si="63"/>
        <v>#VALUE!</v>
      </c>
    </row>
    <row r="961" spans="57:59" x14ac:dyDescent="0.2">
      <c r="BE961" s="19">
        <f t="shared" si="64"/>
        <v>0.83124999999999771</v>
      </c>
      <c r="BF961" t="e">
        <f t="shared" ca="1" si="62"/>
        <v>#VALUE!</v>
      </c>
      <c r="BG961" t="e">
        <f t="shared" ca="1" si="63"/>
        <v>#VALUE!</v>
      </c>
    </row>
    <row r="962" spans="57:59" x14ac:dyDescent="0.2">
      <c r="BE962" s="19">
        <f t="shared" si="64"/>
        <v>0.83194444444444215</v>
      </c>
      <c r="BF962" t="e">
        <f t="shared" ca="1" si="62"/>
        <v>#VALUE!</v>
      </c>
      <c r="BG962" t="e">
        <f t="shared" ca="1" si="63"/>
        <v>#VALUE!</v>
      </c>
    </row>
    <row r="963" spans="57:59" x14ac:dyDescent="0.2">
      <c r="BE963" s="19">
        <f t="shared" si="64"/>
        <v>0.8326388888888866</v>
      </c>
      <c r="BF963" t="e">
        <f t="shared" ca="1" si="62"/>
        <v>#VALUE!</v>
      </c>
      <c r="BG963" t="e">
        <f t="shared" ca="1" si="63"/>
        <v>#VALUE!</v>
      </c>
    </row>
    <row r="964" spans="57:59" x14ac:dyDescent="0.2">
      <c r="BE964" s="19">
        <f t="shared" si="64"/>
        <v>0.83333333333333104</v>
      </c>
      <c r="BF964" t="e">
        <f t="shared" ref="BF964:BF1027" ca="1" si="65">IF(BG964=0,AVERAGE(OFFSET(BH964,0,0,1,$A$1-1)),AVERAGE(BG964,OFFSET(BH964,0,0,1,$A$1-1)))</f>
        <v>#VALUE!</v>
      </c>
      <c r="BG964" t="e">
        <f t="shared" ca="1" si="63"/>
        <v>#VALUE!</v>
      </c>
    </row>
    <row r="965" spans="57:59" x14ac:dyDescent="0.2">
      <c r="BE965" s="19">
        <f t="shared" si="64"/>
        <v>0.83402777777777548</v>
      </c>
      <c r="BF965" t="e">
        <f t="shared" ca="1" si="65"/>
        <v>#VALUE!</v>
      </c>
      <c r="BG965" t="e">
        <f t="shared" ref="BG965:BG1028" ca="1" si="66">IF(BE965&lt;$B$5-1/1440,0,OFFSET($AA$4,(BE965-$B$4)*1440,0,1,1))</f>
        <v>#VALUE!</v>
      </c>
    </row>
    <row r="966" spans="57:59" x14ac:dyDescent="0.2">
      <c r="BE966" s="19">
        <f t="shared" ref="BE966:BE1029" si="67">BE965+1/1440</f>
        <v>0.83472222222221992</v>
      </c>
      <c r="BF966" t="e">
        <f t="shared" ca="1" si="65"/>
        <v>#VALUE!</v>
      </c>
      <c r="BG966" t="e">
        <f t="shared" ca="1" si="66"/>
        <v>#VALUE!</v>
      </c>
    </row>
    <row r="967" spans="57:59" x14ac:dyDescent="0.2">
      <c r="BE967" s="19">
        <f t="shared" si="67"/>
        <v>0.83541666666666436</v>
      </c>
      <c r="BF967" t="e">
        <f t="shared" ca="1" si="65"/>
        <v>#VALUE!</v>
      </c>
      <c r="BG967" t="e">
        <f t="shared" ca="1" si="66"/>
        <v>#VALUE!</v>
      </c>
    </row>
    <row r="968" spans="57:59" x14ac:dyDescent="0.2">
      <c r="BE968" s="19">
        <f t="shared" si="67"/>
        <v>0.83611111111110881</v>
      </c>
      <c r="BF968" t="e">
        <f t="shared" ca="1" si="65"/>
        <v>#VALUE!</v>
      </c>
      <c r="BG968" t="e">
        <f t="shared" ca="1" si="66"/>
        <v>#VALUE!</v>
      </c>
    </row>
    <row r="969" spans="57:59" x14ac:dyDescent="0.2">
      <c r="BE969" s="19">
        <f t="shared" si="67"/>
        <v>0.83680555555555325</v>
      </c>
      <c r="BF969" t="e">
        <f t="shared" ca="1" si="65"/>
        <v>#VALUE!</v>
      </c>
      <c r="BG969" t="e">
        <f t="shared" ca="1" si="66"/>
        <v>#VALUE!</v>
      </c>
    </row>
    <row r="970" spans="57:59" x14ac:dyDescent="0.2">
      <c r="BE970" s="19">
        <f t="shared" si="67"/>
        <v>0.83749999999999769</v>
      </c>
      <c r="BF970" t="e">
        <f t="shared" ca="1" si="65"/>
        <v>#VALUE!</v>
      </c>
      <c r="BG970" t="e">
        <f t="shared" ca="1" si="66"/>
        <v>#VALUE!</v>
      </c>
    </row>
    <row r="971" spans="57:59" x14ac:dyDescent="0.2">
      <c r="BE971" s="19">
        <f t="shared" si="67"/>
        <v>0.83819444444444213</v>
      </c>
      <c r="BF971" t="e">
        <f t="shared" ca="1" si="65"/>
        <v>#VALUE!</v>
      </c>
      <c r="BG971" t="e">
        <f t="shared" ca="1" si="66"/>
        <v>#VALUE!</v>
      </c>
    </row>
    <row r="972" spans="57:59" x14ac:dyDescent="0.2">
      <c r="BE972" s="19">
        <f t="shared" si="67"/>
        <v>0.83888888888888657</v>
      </c>
      <c r="BF972" t="e">
        <f t="shared" ca="1" si="65"/>
        <v>#VALUE!</v>
      </c>
      <c r="BG972" t="e">
        <f t="shared" ca="1" si="66"/>
        <v>#VALUE!</v>
      </c>
    </row>
    <row r="973" spans="57:59" x14ac:dyDescent="0.2">
      <c r="BE973" s="19">
        <f t="shared" si="67"/>
        <v>0.83958333333333102</v>
      </c>
      <c r="BF973" t="e">
        <f t="shared" ca="1" si="65"/>
        <v>#VALUE!</v>
      </c>
      <c r="BG973" t="e">
        <f t="shared" ca="1" si="66"/>
        <v>#VALUE!</v>
      </c>
    </row>
    <row r="974" spans="57:59" x14ac:dyDescent="0.2">
      <c r="BE974" s="19">
        <f t="shared" si="67"/>
        <v>0.84027777777777546</v>
      </c>
      <c r="BF974" t="e">
        <f t="shared" ca="1" si="65"/>
        <v>#VALUE!</v>
      </c>
      <c r="BG974" t="e">
        <f t="shared" ca="1" si="66"/>
        <v>#VALUE!</v>
      </c>
    </row>
    <row r="975" spans="57:59" x14ac:dyDescent="0.2">
      <c r="BE975" s="19">
        <f t="shared" si="67"/>
        <v>0.8409722222222199</v>
      </c>
      <c r="BF975" t="e">
        <f t="shared" ca="1" si="65"/>
        <v>#VALUE!</v>
      </c>
      <c r="BG975" t="e">
        <f t="shared" ca="1" si="66"/>
        <v>#VALUE!</v>
      </c>
    </row>
    <row r="976" spans="57:59" x14ac:dyDescent="0.2">
      <c r="BE976" s="19">
        <f t="shared" si="67"/>
        <v>0.84166666666666434</v>
      </c>
      <c r="BF976" t="e">
        <f t="shared" ca="1" si="65"/>
        <v>#VALUE!</v>
      </c>
      <c r="BG976" t="e">
        <f t="shared" ca="1" si="66"/>
        <v>#VALUE!</v>
      </c>
    </row>
    <row r="977" spans="57:59" x14ac:dyDescent="0.2">
      <c r="BE977" s="19">
        <f t="shared" si="67"/>
        <v>0.84236111111110878</v>
      </c>
      <c r="BF977" t="e">
        <f t="shared" ca="1" si="65"/>
        <v>#VALUE!</v>
      </c>
      <c r="BG977" t="e">
        <f t="shared" ca="1" si="66"/>
        <v>#VALUE!</v>
      </c>
    </row>
    <row r="978" spans="57:59" x14ac:dyDescent="0.2">
      <c r="BE978" s="19">
        <f t="shared" si="67"/>
        <v>0.84305555555555323</v>
      </c>
      <c r="BF978" t="e">
        <f t="shared" ca="1" si="65"/>
        <v>#VALUE!</v>
      </c>
      <c r="BG978" t="e">
        <f t="shared" ca="1" si="66"/>
        <v>#VALUE!</v>
      </c>
    </row>
    <row r="979" spans="57:59" x14ac:dyDescent="0.2">
      <c r="BE979" s="19">
        <f t="shared" si="67"/>
        <v>0.84374999999999767</v>
      </c>
      <c r="BF979" t="e">
        <f t="shared" ca="1" si="65"/>
        <v>#VALUE!</v>
      </c>
      <c r="BG979" t="e">
        <f t="shared" ca="1" si="66"/>
        <v>#VALUE!</v>
      </c>
    </row>
    <row r="980" spans="57:59" x14ac:dyDescent="0.2">
      <c r="BE980" s="19">
        <f t="shared" si="67"/>
        <v>0.84444444444444211</v>
      </c>
      <c r="BF980" t="e">
        <f t="shared" ca="1" si="65"/>
        <v>#VALUE!</v>
      </c>
      <c r="BG980" t="e">
        <f t="shared" ca="1" si="66"/>
        <v>#VALUE!</v>
      </c>
    </row>
    <row r="981" spans="57:59" x14ac:dyDescent="0.2">
      <c r="BE981" s="19">
        <f t="shared" si="67"/>
        <v>0.84513888888888655</v>
      </c>
      <c r="BF981" t="e">
        <f t="shared" ca="1" si="65"/>
        <v>#VALUE!</v>
      </c>
      <c r="BG981" t="e">
        <f t="shared" ca="1" si="66"/>
        <v>#VALUE!</v>
      </c>
    </row>
    <row r="982" spans="57:59" x14ac:dyDescent="0.2">
      <c r="BE982" s="19">
        <f t="shared" si="67"/>
        <v>0.84583333333333099</v>
      </c>
      <c r="BF982" t="e">
        <f t="shared" ca="1" si="65"/>
        <v>#VALUE!</v>
      </c>
      <c r="BG982" t="e">
        <f t="shared" ca="1" si="66"/>
        <v>#VALUE!</v>
      </c>
    </row>
    <row r="983" spans="57:59" x14ac:dyDescent="0.2">
      <c r="BE983" s="19">
        <f t="shared" si="67"/>
        <v>0.84652777777777544</v>
      </c>
      <c r="BF983" t="e">
        <f t="shared" ca="1" si="65"/>
        <v>#VALUE!</v>
      </c>
      <c r="BG983" t="e">
        <f t="shared" ca="1" si="66"/>
        <v>#VALUE!</v>
      </c>
    </row>
    <row r="984" spans="57:59" x14ac:dyDescent="0.2">
      <c r="BE984" s="19">
        <f t="shared" si="67"/>
        <v>0.84722222222221988</v>
      </c>
      <c r="BF984" t="e">
        <f t="shared" ca="1" si="65"/>
        <v>#VALUE!</v>
      </c>
      <c r="BG984" t="e">
        <f t="shared" ca="1" si="66"/>
        <v>#VALUE!</v>
      </c>
    </row>
    <row r="985" spans="57:59" x14ac:dyDescent="0.2">
      <c r="BE985" s="19">
        <f t="shared" si="67"/>
        <v>0.84791666666666432</v>
      </c>
      <c r="BF985" t="e">
        <f t="shared" ca="1" si="65"/>
        <v>#VALUE!</v>
      </c>
      <c r="BG985" t="e">
        <f t="shared" ca="1" si="66"/>
        <v>#VALUE!</v>
      </c>
    </row>
    <row r="986" spans="57:59" x14ac:dyDescent="0.2">
      <c r="BE986" s="19">
        <f t="shared" si="67"/>
        <v>0.84861111111110876</v>
      </c>
      <c r="BF986" t="e">
        <f t="shared" ca="1" si="65"/>
        <v>#VALUE!</v>
      </c>
      <c r="BG986" t="e">
        <f t="shared" ca="1" si="66"/>
        <v>#VALUE!</v>
      </c>
    </row>
    <row r="987" spans="57:59" x14ac:dyDescent="0.2">
      <c r="BE987" s="19">
        <f t="shared" si="67"/>
        <v>0.8493055555555532</v>
      </c>
      <c r="BF987" t="e">
        <f t="shared" ca="1" si="65"/>
        <v>#VALUE!</v>
      </c>
      <c r="BG987" t="e">
        <f t="shared" ca="1" si="66"/>
        <v>#VALUE!</v>
      </c>
    </row>
    <row r="988" spans="57:59" x14ac:dyDescent="0.2">
      <c r="BE988" s="19">
        <f t="shared" si="67"/>
        <v>0.84999999999999765</v>
      </c>
      <c r="BF988" t="e">
        <f t="shared" ca="1" si="65"/>
        <v>#VALUE!</v>
      </c>
      <c r="BG988" t="e">
        <f t="shared" ca="1" si="66"/>
        <v>#VALUE!</v>
      </c>
    </row>
    <row r="989" spans="57:59" x14ac:dyDescent="0.2">
      <c r="BE989" s="19">
        <f t="shared" si="67"/>
        <v>0.85069444444444209</v>
      </c>
      <c r="BF989" t="e">
        <f t="shared" ca="1" si="65"/>
        <v>#VALUE!</v>
      </c>
      <c r="BG989" t="e">
        <f t="shared" ca="1" si="66"/>
        <v>#VALUE!</v>
      </c>
    </row>
    <row r="990" spans="57:59" x14ac:dyDescent="0.2">
      <c r="BE990" s="19">
        <f t="shared" si="67"/>
        <v>0.85138888888888653</v>
      </c>
      <c r="BF990" t="e">
        <f t="shared" ca="1" si="65"/>
        <v>#VALUE!</v>
      </c>
      <c r="BG990" t="e">
        <f t="shared" ca="1" si="66"/>
        <v>#VALUE!</v>
      </c>
    </row>
    <row r="991" spans="57:59" x14ac:dyDescent="0.2">
      <c r="BE991" s="19">
        <f t="shared" si="67"/>
        <v>0.85208333333333097</v>
      </c>
      <c r="BF991" t="e">
        <f t="shared" ca="1" si="65"/>
        <v>#VALUE!</v>
      </c>
      <c r="BG991" t="e">
        <f t="shared" ca="1" si="66"/>
        <v>#VALUE!</v>
      </c>
    </row>
    <row r="992" spans="57:59" x14ac:dyDescent="0.2">
      <c r="BE992" s="19">
        <f t="shared" si="67"/>
        <v>0.85277777777777541</v>
      </c>
      <c r="BF992" t="e">
        <f t="shared" ca="1" si="65"/>
        <v>#VALUE!</v>
      </c>
      <c r="BG992" t="e">
        <f t="shared" ca="1" si="66"/>
        <v>#VALUE!</v>
      </c>
    </row>
    <row r="993" spans="57:59" x14ac:dyDescent="0.2">
      <c r="BE993" s="19">
        <f t="shared" si="67"/>
        <v>0.85347222222221986</v>
      </c>
      <c r="BF993" t="e">
        <f t="shared" ca="1" si="65"/>
        <v>#VALUE!</v>
      </c>
      <c r="BG993" t="e">
        <f t="shared" ca="1" si="66"/>
        <v>#VALUE!</v>
      </c>
    </row>
    <row r="994" spans="57:59" x14ac:dyDescent="0.2">
      <c r="BE994" s="19">
        <f t="shared" si="67"/>
        <v>0.8541666666666643</v>
      </c>
      <c r="BF994" t="e">
        <f t="shared" ca="1" si="65"/>
        <v>#VALUE!</v>
      </c>
      <c r="BG994" t="e">
        <f t="shared" ca="1" si="66"/>
        <v>#VALUE!</v>
      </c>
    </row>
    <row r="995" spans="57:59" x14ac:dyDescent="0.2">
      <c r="BE995" s="19">
        <f t="shared" si="67"/>
        <v>0.85486111111110874</v>
      </c>
      <c r="BF995" t="e">
        <f t="shared" ca="1" si="65"/>
        <v>#VALUE!</v>
      </c>
      <c r="BG995" t="e">
        <f t="shared" ca="1" si="66"/>
        <v>#VALUE!</v>
      </c>
    </row>
    <row r="996" spans="57:59" x14ac:dyDescent="0.2">
      <c r="BE996" s="19">
        <f t="shared" si="67"/>
        <v>0.85555555555555318</v>
      </c>
      <c r="BF996" t="e">
        <f t="shared" ca="1" si="65"/>
        <v>#VALUE!</v>
      </c>
      <c r="BG996" t="e">
        <f t="shared" ca="1" si="66"/>
        <v>#VALUE!</v>
      </c>
    </row>
    <row r="997" spans="57:59" x14ac:dyDescent="0.2">
      <c r="BE997" s="19">
        <f t="shared" si="67"/>
        <v>0.85624999999999762</v>
      </c>
      <c r="BF997" t="e">
        <f t="shared" ca="1" si="65"/>
        <v>#VALUE!</v>
      </c>
      <c r="BG997" t="e">
        <f t="shared" ca="1" si="66"/>
        <v>#VALUE!</v>
      </c>
    </row>
    <row r="998" spans="57:59" x14ac:dyDescent="0.2">
      <c r="BE998" s="19">
        <f t="shared" si="67"/>
        <v>0.85694444444444207</v>
      </c>
      <c r="BF998" t="e">
        <f t="shared" ca="1" si="65"/>
        <v>#VALUE!</v>
      </c>
      <c r="BG998" t="e">
        <f t="shared" ca="1" si="66"/>
        <v>#VALUE!</v>
      </c>
    </row>
    <row r="999" spans="57:59" x14ac:dyDescent="0.2">
      <c r="BE999" s="19">
        <f t="shared" si="67"/>
        <v>0.85763888888888651</v>
      </c>
      <c r="BF999" t="e">
        <f t="shared" ca="1" si="65"/>
        <v>#VALUE!</v>
      </c>
      <c r="BG999" t="e">
        <f t="shared" ca="1" si="66"/>
        <v>#VALUE!</v>
      </c>
    </row>
    <row r="1000" spans="57:59" x14ac:dyDescent="0.2">
      <c r="BE1000" s="19">
        <f t="shared" si="67"/>
        <v>0.85833333333333095</v>
      </c>
      <c r="BF1000" t="e">
        <f t="shared" ca="1" si="65"/>
        <v>#VALUE!</v>
      </c>
      <c r="BG1000" t="e">
        <f t="shared" ca="1" si="66"/>
        <v>#VALUE!</v>
      </c>
    </row>
    <row r="1001" spans="57:59" x14ac:dyDescent="0.2">
      <c r="BE1001" s="19">
        <f t="shared" si="67"/>
        <v>0.85902777777777539</v>
      </c>
      <c r="BF1001" t="e">
        <f t="shared" ca="1" si="65"/>
        <v>#VALUE!</v>
      </c>
      <c r="BG1001" t="e">
        <f t="shared" ca="1" si="66"/>
        <v>#VALUE!</v>
      </c>
    </row>
    <row r="1002" spans="57:59" x14ac:dyDescent="0.2">
      <c r="BE1002" s="19">
        <f t="shared" si="67"/>
        <v>0.85972222222221983</v>
      </c>
      <c r="BF1002" t="e">
        <f t="shared" ca="1" si="65"/>
        <v>#VALUE!</v>
      </c>
      <c r="BG1002" t="e">
        <f t="shared" ca="1" si="66"/>
        <v>#VALUE!</v>
      </c>
    </row>
    <row r="1003" spans="57:59" x14ac:dyDescent="0.2">
      <c r="BE1003" s="19">
        <f t="shared" si="67"/>
        <v>0.86041666666666428</v>
      </c>
      <c r="BF1003" t="e">
        <f t="shared" ca="1" si="65"/>
        <v>#VALUE!</v>
      </c>
      <c r="BG1003" t="e">
        <f t="shared" ca="1" si="66"/>
        <v>#VALUE!</v>
      </c>
    </row>
    <row r="1004" spans="57:59" x14ac:dyDescent="0.2">
      <c r="BE1004" s="19">
        <f t="shared" si="67"/>
        <v>0.86111111111110872</v>
      </c>
      <c r="BF1004" t="e">
        <f t="shared" ca="1" si="65"/>
        <v>#VALUE!</v>
      </c>
      <c r="BG1004" t="e">
        <f t="shared" ca="1" si="66"/>
        <v>#VALUE!</v>
      </c>
    </row>
    <row r="1005" spans="57:59" x14ac:dyDescent="0.2">
      <c r="BE1005" s="19">
        <f t="shared" si="67"/>
        <v>0.86180555555555316</v>
      </c>
      <c r="BF1005" t="e">
        <f t="shared" ca="1" si="65"/>
        <v>#VALUE!</v>
      </c>
      <c r="BG1005" t="e">
        <f t="shared" ca="1" si="66"/>
        <v>#VALUE!</v>
      </c>
    </row>
    <row r="1006" spans="57:59" x14ac:dyDescent="0.2">
      <c r="BE1006" s="19">
        <f t="shared" si="67"/>
        <v>0.8624999999999976</v>
      </c>
      <c r="BF1006" t="e">
        <f t="shared" ca="1" si="65"/>
        <v>#VALUE!</v>
      </c>
      <c r="BG1006" t="e">
        <f t="shared" ca="1" si="66"/>
        <v>#VALUE!</v>
      </c>
    </row>
    <row r="1007" spans="57:59" x14ac:dyDescent="0.2">
      <c r="BE1007" s="19">
        <f t="shared" si="67"/>
        <v>0.86319444444444204</v>
      </c>
      <c r="BF1007" t="e">
        <f t="shared" ca="1" si="65"/>
        <v>#VALUE!</v>
      </c>
      <c r="BG1007" t="e">
        <f t="shared" ca="1" si="66"/>
        <v>#VALUE!</v>
      </c>
    </row>
    <row r="1008" spans="57:59" x14ac:dyDescent="0.2">
      <c r="BE1008" s="19">
        <f t="shared" si="67"/>
        <v>0.86388888888888649</v>
      </c>
      <c r="BF1008" t="e">
        <f t="shared" ca="1" si="65"/>
        <v>#VALUE!</v>
      </c>
      <c r="BG1008" t="e">
        <f t="shared" ca="1" si="66"/>
        <v>#VALUE!</v>
      </c>
    </row>
    <row r="1009" spans="57:59" x14ac:dyDescent="0.2">
      <c r="BE1009" s="19">
        <f t="shared" si="67"/>
        <v>0.86458333333333093</v>
      </c>
      <c r="BF1009" t="e">
        <f t="shared" ca="1" si="65"/>
        <v>#VALUE!</v>
      </c>
      <c r="BG1009" t="e">
        <f t="shared" ca="1" si="66"/>
        <v>#VALUE!</v>
      </c>
    </row>
    <row r="1010" spans="57:59" x14ac:dyDescent="0.2">
      <c r="BE1010" s="19">
        <f t="shared" si="67"/>
        <v>0.86527777777777537</v>
      </c>
      <c r="BF1010" t="e">
        <f t="shared" ca="1" si="65"/>
        <v>#VALUE!</v>
      </c>
      <c r="BG1010" t="e">
        <f t="shared" ca="1" si="66"/>
        <v>#VALUE!</v>
      </c>
    </row>
    <row r="1011" spans="57:59" x14ac:dyDescent="0.2">
      <c r="BE1011" s="19">
        <f t="shared" si="67"/>
        <v>0.86597222222221981</v>
      </c>
      <c r="BF1011" t="e">
        <f t="shared" ca="1" si="65"/>
        <v>#VALUE!</v>
      </c>
      <c r="BG1011" t="e">
        <f t="shared" ca="1" si="66"/>
        <v>#VALUE!</v>
      </c>
    </row>
    <row r="1012" spans="57:59" x14ac:dyDescent="0.2">
      <c r="BE1012" s="19">
        <f t="shared" si="67"/>
        <v>0.86666666666666425</v>
      </c>
      <c r="BF1012" t="e">
        <f t="shared" ca="1" si="65"/>
        <v>#VALUE!</v>
      </c>
      <c r="BG1012" t="e">
        <f t="shared" ca="1" si="66"/>
        <v>#VALUE!</v>
      </c>
    </row>
    <row r="1013" spans="57:59" x14ac:dyDescent="0.2">
      <c r="BE1013" s="19">
        <f t="shared" si="67"/>
        <v>0.8673611111111087</v>
      </c>
      <c r="BF1013" t="e">
        <f t="shared" ca="1" si="65"/>
        <v>#VALUE!</v>
      </c>
      <c r="BG1013" t="e">
        <f t="shared" ca="1" si="66"/>
        <v>#VALUE!</v>
      </c>
    </row>
    <row r="1014" spans="57:59" x14ac:dyDescent="0.2">
      <c r="BE1014" s="19">
        <f t="shared" si="67"/>
        <v>0.86805555555555314</v>
      </c>
      <c r="BF1014" t="e">
        <f t="shared" ca="1" si="65"/>
        <v>#VALUE!</v>
      </c>
      <c r="BG1014" t="e">
        <f t="shared" ca="1" si="66"/>
        <v>#VALUE!</v>
      </c>
    </row>
    <row r="1015" spans="57:59" x14ac:dyDescent="0.2">
      <c r="BE1015" s="19">
        <f t="shared" si="67"/>
        <v>0.86874999999999758</v>
      </c>
      <c r="BF1015" t="e">
        <f t="shared" ca="1" si="65"/>
        <v>#VALUE!</v>
      </c>
      <c r="BG1015" t="e">
        <f t="shared" ca="1" si="66"/>
        <v>#VALUE!</v>
      </c>
    </row>
    <row r="1016" spans="57:59" x14ac:dyDescent="0.2">
      <c r="BE1016" s="19">
        <f t="shared" si="67"/>
        <v>0.86944444444444202</v>
      </c>
      <c r="BF1016" t="e">
        <f t="shared" ca="1" si="65"/>
        <v>#VALUE!</v>
      </c>
      <c r="BG1016" t="e">
        <f t="shared" ca="1" si="66"/>
        <v>#VALUE!</v>
      </c>
    </row>
    <row r="1017" spans="57:59" x14ac:dyDescent="0.2">
      <c r="BE1017" s="19">
        <f t="shared" si="67"/>
        <v>0.87013888888888646</v>
      </c>
      <c r="BF1017" t="e">
        <f t="shared" ca="1" si="65"/>
        <v>#VALUE!</v>
      </c>
      <c r="BG1017" t="e">
        <f t="shared" ca="1" si="66"/>
        <v>#VALUE!</v>
      </c>
    </row>
    <row r="1018" spans="57:59" x14ac:dyDescent="0.2">
      <c r="BE1018" s="19">
        <f t="shared" si="67"/>
        <v>0.87083333333333091</v>
      </c>
      <c r="BF1018" t="e">
        <f t="shared" ca="1" si="65"/>
        <v>#VALUE!</v>
      </c>
      <c r="BG1018" t="e">
        <f t="shared" ca="1" si="66"/>
        <v>#VALUE!</v>
      </c>
    </row>
    <row r="1019" spans="57:59" x14ac:dyDescent="0.2">
      <c r="BE1019" s="19">
        <f t="shared" si="67"/>
        <v>0.87152777777777535</v>
      </c>
      <c r="BF1019" t="e">
        <f t="shared" ca="1" si="65"/>
        <v>#VALUE!</v>
      </c>
      <c r="BG1019" t="e">
        <f t="shared" ca="1" si="66"/>
        <v>#VALUE!</v>
      </c>
    </row>
    <row r="1020" spans="57:59" x14ac:dyDescent="0.2">
      <c r="BE1020" s="19">
        <f t="shared" si="67"/>
        <v>0.87222222222221979</v>
      </c>
      <c r="BF1020" t="e">
        <f t="shared" ca="1" si="65"/>
        <v>#VALUE!</v>
      </c>
      <c r="BG1020" t="e">
        <f t="shared" ca="1" si="66"/>
        <v>#VALUE!</v>
      </c>
    </row>
    <row r="1021" spans="57:59" x14ac:dyDescent="0.2">
      <c r="BE1021" s="19">
        <f t="shared" si="67"/>
        <v>0.87291666666666423</v>
      </c>
      <c r="BF1021" t="e">
        <f t="shared" ca="1" si="65"/>
        <v>#VALUE!</v>
      </c>
      <c r="BG1021" t="e">
        <f t="shared" ca="1" si="66"/>
        <v>#VALUE!</v>
      </c>
    </row>
    <row r="1022" spans="57:59" x14ac:dyDescent="0.2">
      <c r="BE1022" s="19">
        <f t="shared" si="67"/>
        <v>0.87361111111110867</v>
      </c>
      <c r="BF1022" t="e">
        <f t="shared" ca="1" si="65"/>
        <v>#VALUE!</v>
      </c>
      <c r="BG1022" t="e">
        <f t="shared" ca="1" si="66"/>
        <v>#VALUE!</v>
      </c>
    </row>
    <row r="1023" spans="57:59" x14ac:dyDescent="0.2">
      <c r="BE1023" s="19">
        <f t="shared" si="67"/>
        <v>0.87430555555555312</v>
      </c>
      <c r="BF1023" t="e">
        <f t="shared" ca="1" si="65"/>
        <v>#VALUE!</v>
      </c>
      <c r="BG1023" t="e">
        <f t="shared" ca="1" si="66"/>
        <v>#VALUE!</v>
      </c>
    </row>
    <row r="1024" spans="57:59" x14ac:dyDescent="0.2">
      <c r="BE1024" s="19">
        <f t="shared" si="67"/>
        <v>0.87499999999999756</v>
      </c>
      <c r="BF1024" t="e">
        <f t="shared" ca="1" si="65"/>
        <v>#VALUE!</v>
      </c>
      <c r="BG1024" t="e">
        <f t="shared" ca="1" si="66"/>
        <v>#VALUE!</v>
      </c>
    </row>
    <row r="1025" spans="57:59" x14ac:dyDescent="0.2">
      <c r="BE1025" s="19">
        <f t="shared" si="67"/>
        <v>0.875694444444442</v>
      </c>
      <c r="BF1025" t="e">
        <f t="shared" ca="1" si="65"/>
        <v>#VALUE!</v>
      </c>
      <c r="BG1025" t="e">
        <f t="shared" ca="1" si="66"/>
        <v>#VALUE!</v>
      </c>
    </row>
    <row r="1026" spans="57:59" x14ac:dyDescent="0.2">
      <c r="BE1026" s="19">
        <f t="shared" si="67"/>
        <v>0.87638888888888644</v>
      </c>
      <c r="BF1026" t="e">
        <f t="shared" ca="1" si="65"/>
        <v>#VALUE!</v>
      </c>
      <c r="BG1026" t="e">
        <f t="shared" ca="1" si="66"/>
        <v>#VALUE!</v>
      </c>
    </row>
    <row r="1027" spans="57:59" x14ac:dyDescent="0.2">
      <c r="BE1027" s="19">
        <f t="shared" si="67"/>
        <v>0.87708333333333088</v>
      </c>
      <c r="BF1027" t="e">
        <f t="shared" ca="1" si="65"/>
        <v>#VALUE!</v>
      </c>
      <c r="BG1027" t="e">
        <f t="shared" ca="1" si="66"/>
        <v>#VALUE!</v>
      </c>
    </row>
    <row r="1028" spans="57:59" x14ac:dyDescent="0.2">
      <c r="BE1028" s="19">
        <f t="shared" si="67"/>
        <v>0.87777777777777533</v>
      </c>
      <c r="BF1028" t="e">
        <f t="shared" ref="BF1028:BF1091" ca="1" si="68">IF(BG1028=0,AVERAGE(OFFSET(BH1028,0,0,1,$A$1-1)),AVERAGE(BG1028,OFFSET(BH1028,0,0,1,$A$1-1)))</f>
        <v>#VALUE!</v>
      </c>
      <c r="BG1028" t="e">
        <f t="shared" ca="1" si="66"/>
        <v>#VALUE!</v>
      </c>
    </row>
    <row r="1029" spans="57:59" x14ac:dyDescent="0.2">
      <c r="BE1029" s="19">
        <f t="shared" si="67"/>
        <v>0.87847222222221977</v>
      </c>
      <c r="BF1029" t="e">
        <f t="shared" ca="1" si="68"/>
        <v>#VALUE!</v>
      </c>
      <c r="BG1029" t="e">
        <f t="shared" ref="BG1029:BG1092" ca="1" si="69">IF(BE1029&lt;$B$5-1/1440,0,OFFSET($AA$4,(BE1029-$B$4)*1440,0,1,1))</f>
        <v>#VALUE!</v>
      </c>
    </row>
    <row r="1030" spans="57:59" x14ac:dyDescent="0.2">
      <c r="BE1030" s="19">
        <f t="shared" ref="BE1030:BE1093" si="70">BE1029+1/1440</f>
        <v>0.87916666666666421</v>
      </c>
      <c r="BF1030" t="e">
        <f t="shared" ca="1" si="68"/>
        <v>#VALUE!</v>
      </c>
      <c r="BG1030" t="e">
        <f t="shared" ca="1" si="69"/>
        <v>#VALUE!</v>
      </c>
    </row>
    <row r="1031" spans="57:59" x14ac:dyDescent="0.2">
      <c r="BE1031" s="19">
        <f t="shared" si="70"/>
        <v>0.87986111111110865</v>
      </c>
      <c r="BF1031" t="e">
        <f t="shared" ca="1" si="68"/>
        <v>#VALUE!</v>
      </c>
      <c r="BG1031" t="e">
        <f t="shared" ca="1" si="69"/>
        <v>#VALUE!</v>
      </c>
    </row>
    <row r="1032" spans="57:59" x14ac:dyDescent="0.2">
      <c r="BE1032" s="19">
        <f t="shared" si="70"/>
        <v>0.88055555555555309</v>
      </c>
      <c r="BF1032" t="e">
        <f t="shared" ca="1" si="68"/>
        <v>#VALUE!</v>
      </c>
      <c r="BG1032" t="e">
        <f t="shared" ca="1" si="69"/>
        <v>#VALUE!</v>
      </c>
    </row>
    <row r="1033" spans="57:59" x14ac:dyDescent="0.2">
      <c r="BE1033" s="19">
        <f t="shared" si="70"/>
        <v>0.88124999999999754</v>
      </c>
      <c r="BF1033" t="e">
        <f t="shared" ca="1" si="68"/>
        <v>#VALUE!</v>
      </c>
      <c r="BG1033" t="e">
        <f t="shared" ca="1" si="69"/>
        <v>#VALUE!</v>
      </c>
    </row>
    <row r="1034" spans="57:59" x14ac:dyDescent="0.2">
      <c r="BE1034" s="19">
        <f t="shared" si="70"/>
        <v>0.88194444444444198</v>
      </c>
      <c r="BF1034" t="e">
        <f t="shared" ca="1" si="68"/>
        <v>#VALUE!</v>
      </c>
      <c r="BG1034" t="e">
        <f t="shared" ca="1" si="69"/>
        <v>#VALUE!</v>
      </c>
    </row>
    <row r="1035" spans="57:59" x14ac:dyDescent="0.2">
      <c r="BE1035" s="19">
        <f t="shared" si="70"/>
        <v>0.88263888888888642</v>
      </c>
      <c r="BF1035" t="e">
        <f t="shared" ca="1" si="68"/>
        <v>#VALUE!</v>
      </c>
      <c r="BG1035" t="e">
        <f t="shared" ca="1" si="69"/>
        <v>#VALUE!</v>
      </c>
    </row>
    <row r="1036" spans="57:59" x14ac:dyDescent="0.2">
      <c r="BE1036" s="19">
        <f t="shared" si="70"/>
        <v>0.88333333333333086</v>
      </c>
      <c r="BF1036" t="e">
        <f t="shared" ca="1" si="68"/>
        <v>#VALUE!</v>
      </c>
      <c r="BG1036" t="e">
        <f t="shared" ca="1" si="69"/>
        <v>#VALUE!</v>
      </c>
    </row>
    <row r="1037" spans="57:59" x14ac:dyDescent="0.2">
      <c r="BE1037" s="19">
        <f t="shared" si="70"/>
        <v>0.8840277777777753</v>
      </c>
      <c r="BF1037" t="e">
        <f t="shared" ca="1" si="68"/>
        <v>#VALUE!</v>
      </c>
      <c r="BG1037" t="e">
        <f t="shared" ca="1" si="69"/>
        <v>#VALUE!</v>
      </c>
    </row>
    <row r="1038" spans="57:59" x14ac:dyDescent="0.2">
      <c r="BE1038" s="19">
        <f t="shared" si="70"/>
        <v>0.88472222222221975</v>
      </c>
      <c r="BF1038" t="e">
        <f t="shared" ca="1" si="68"/>
        <v>#VALUE!</v>
      </c>
      <c r="BG1038" t="e">
        <f t="shared" ca="1" si="69"/>
        <v>#VALUE!</v>
      </c>
    </row>
    <row r="1039" spans="57:59" x14ac:dyDescent="0.2">
      <c r="BE1039" s="19">
        <f t="shared" si="70"/>
        <v>0.88541666666666419</v>
      </c>
      <c r="BF1039" t="e">
        <f t="shared" ca="1" si="68"/>
        <v>#VALUE!</v>
      </c>
      <c r="BG1039" t="e">
        <f t="shared" ca="1" si="69"/>
        <v>#VALUE!</v>
      </c>
    </row>
    <row r="1040" spans="57:59" x14ac:dyDescent="0.2">
      <c r="BE1040" s="19">
        <f t="shared" si="70"/>
        <v>0.88611111111110863</v>
      </c>
      <c r="BF1040" t="e">
        <f t="shared" ca="1" si="68"/>
        <v>#VALUE!</v>
      </c>
      <c r="BG1040" t="e">
        <f t="shared" ca="1" si="69"/>
        <v>#VALUE!</v>
      </c>
    </row>
    <row r="1041" spans="57:59" x14ac:dyDescent="0.2">
      <c r="BE1041" s="19">
        <f t="shared" si="70"/>
        <v>0.88680555555555307</v>
      </c>
      <c r="BF1041" t="e">
        <f t="shared" ca="1" si="68"/>
        <v>#VALUE!</v>
      </c>
      <c r="BG1041" t="e">
        <f t="shared" ca="1" si="69"/>
        <v>#VALUE!</v>
      </c>
    </row>
    <row r="1042" spans="57:59" x14ac:dyDescent="0.2">
      <c r="BE1042" s="19">
        <f t="shared" si="70"/>
        <v>0.88749999999999751</v>
      </c>
      <c r="BF1042" t="e">
        <f t="shared" ca="1" si="68"/>
        <v>#VALUE!</v>
      </c>
      <c r="BG1042" t="e">
        <f t="shared" ca="1" si="69"/>
        <v>#VALUE!</v>
      </c>
    </row>
    <row r="1043" spans="57:59" x14ac:dyDescent="0.2">
      <c r="BE1043" s="19">
        <f t="shared" si="70"/>
        <v>0.88819444444444196</v>
      </c>
      <c r="BF1043" t="e">
        <f t="shared" ca="1" si="68"/>
        <v>#VALUE!</v>
      </c>
      <c r="BG1043" t="e">
        <f t="shared" ca="1" si="69"/>
        <v>#VALUE!</v>
      </c>
    </row>
    <row r="1044" spans="57:59" x14ac:dyDescent="0.2">
      <c r="BE1044" s="19">
        <f t="shared" si="70"/>
        <v>0.8888888888888864</v>
      </c>
      <c r="BF1044" t="e">
        <f t="shared" ca="1" si="68"/>
        <v>#VALUE!</v>
      </c>
      <c r="BG1044" t="e">
        <f t="shared" ca="1" si="69"/>
        <v>#VALUE!</v>
      </c>
    </row>
    <row r="1045" spans="57:59" x14ac:dyDescent="0.2">
      <c r="BE1045" s="19">
        <f t="shared" si="70"/>
        <v>0.88958333333333084</v>
      </c>
      <c r="BF1045" t="e">
        <f t="shared" ca="1" si="68"/>
        <v>#VALUE!</v>
      </c>
      <c r="BG1045" t="e">
        <f t="shared" ca="1" si="69"/>
        <v>#VALUE!</v>
      </c>
    </row>
    <row r="1046" spans="57:59" x14ac:dyDescent="0.2">
      <c r="BE1046" s="19">
        <f t="shared" si="70"/>
        <v>0.89027777777777528</v>
      </c>
      <c r="BF1046" t="e">
        <f t="shared" ca="1" si="68"/>
        <v>#VALUE!</v>
      </c>
      <c r="BG1046" t="e">
        <f t="shared" ca="1" si="69"/>
        <v>#VALUE!</v>
      </c>
    </row>
    <row r="1047" spans="57:59" x14ac:dyDescent="0.2">
      <c r="BE1047" s="19">
        <f t="shared" si="70"/>
        <v>0.89097222222221972</v>
      </c>
      <c r="BF1047" t="e">
        <f t="shared" ca="1" si="68"/>
        <v>#VALUE!</v>
      </c>
      <c r="BG1047" t="e">
        <f t="shared" ca="1" si="69"/>
        <v>#VALUE!</v>
      </c>
    </row>
    <row r="1048" spans="57:59" x14ac:dyDescent="0.2">
      <c r="BE1048" s="19">
        <f t="shared" si="70"/>
        <v>0.89166666666666416</v>
      </c>
      <c r="BF1048" t="e">
        <f t="shared" ca="1" si="68"/>
        <v>#VALUE!</v>
      </c>
      <c r="BG1048" t="e">
        <f t="shared" ca="1" si="69"/>
        <v>#VALUE!</v>
      </c>
    </row>
    <row r="1049" spans="57:59" x14ac:dyDescent="0.2">
      <c r="BE1049" s="19">
        <f t="shared" si="70"/>
        <v>0.89236111111110861</v>
      </c>
      <c r="BF1049" t="e">
        <f t="shared" ca="1" si="68"/>
        <v>#VALUE!</v>
      </c>
      <c r="BG1049" t="e">
        <f t="shared" ca="1" si="69"/>
        <v>#VALUE!</v>
      </c>
    </row>
    <row r="1050" spans="57:59" x14ac:dyDescent="0.2">
      <c r="BE1050" s="19">
        <f t="shared" si="70"/>
        <v>0.89305555555555305</v>
      </c>
      <c r="BF1050" t="e">
        <f t="shared" ca="1" si="68"/>
        <v>#VALUE!</v>
      </c>
      <c r="BG1050" t="e">
        <f t="shared" ca="1" si="69"/>
        <v>#VALUE!</v>
      </c>
    </row>
    <row r="1051" spans="57:59" x14ac:dyDescent="0.2">
      <c r="BE1051" s="19">
        <f t="shared" si="70"/>
        <v>0.89374999999999749</v>
      </c>
      <c r="BF1051" t="e">
        <f t="shared" ca="1" si="68"/>
        <v>#VALUE!</v>
      </c>
      <c r="BG1051" t="e">
        <f t="shared" ca="1" si="69"/>
        <v>#VALUE!</v>
      </c>
    </row>
    <row r="1052" spans="57:59" x14ac:dyDescent="0.2">
      <c r="BE1052" s="19">
        <f t="shared" si="70"/>
        <v>0.89444444444444193</v>
      </c>
      <c r="BF1052" t="e">
        <f t="shared" ca="1" si="68"/>
        <v>#VALUE!</v>
      </c>
      <c r="BG1052" t="e">
        <f t="shared" ca="1" si="69"/>
        <v>#VALUE!</v>
      </c>
    </row>
    <row r="1053" spans="57:59" x14ac:dyDescent="0.2">
      <c r="BE1053" s="19">
        <f t="shared" si="70"/>
        <v>0.89513888888888637</v>
      </c>
      <c r="BF1053" t="e">
        <f t="shared" ca="1" si="68"/>
        <v>#VALUE!</v>
      </c>
      <c r="BG1053" t="e">
        <f t="shared" ca="1" si="69"/>
        <v>#VALUE!</v>
      </c>
    </row>
    <row r="1054" spans="57:59" x14ac:dyDescent="0.2">
      <c r="BE1054" s="19">
        <f t="shared" si="70"/>
        <v>0.89583333333333082</v>
      </c>
      <c r="BF1054" t="e">
        <f t="shared" ca="1" si="68"/>
        <v>#VALUE!</v>
      </c>
      <c r="BG1054" t="e">
        <f t="shared" ca="1" si="69"/>
        <v>#VALUE!</v>
      </c>
    </row>
    <row r="1055" spans="57:59" x14ac:dyDescent="0.2">
      <c r="BE1055" s="19">
        <f t="shared" si="70"/>
        <v>0.89652777777777526</v>
      </c>
      <c r="BF1055" t="e">
        <f t="shared" ca="1" si="68"/>
        <v>#VALUE!</v>
      </c>
      <c r="BG1055" t="e">
        <f t="shared" ca="1" si="69"/>
        <v>#VALUE!</v>
      </c>
    </row>
    <row r="1056" spans="57:59" x14ac:dyDescent="0.2">
      <c r="BE1056" s="19">
        <f t="shared" si="70"/>
        <v>0.8972222222222197</v>
      </c>
      <c r="BF1056" t="e">
        <f t="shared" ca="1" si="68"/>
        <v>#VALUE!</v>
      </c>
      <c r="BG1056" t="e">
        <f t="shared" ca="1" si="69"/>
        <v>#VALUE!</v>
      </c>
    </row>
    <row r="1057" spans="57:59" x14ac:dyDescent="0.2">
      <c r="BE1057" s="19">
        <f t="shared" si="70"/>
        <v>0.89791666666666414</v>
      </c>
      <c r="BF1057" t="e">
        <f t="shared" ca="1" si="68"/>
        <v>#VALUE!</v>
      </c>
      <c r="BG1057" t="e">
        <f t="shared" ca="1" si="69"/>
        <v>#VALUE!</v>
      </c>
    </row>
    <row r="1058" spans="57:59" x14ac:dyDescent="0.2">
      <c r="BE1058" s="19">
        <f t="shared" si="70"/>
        <v>0.89861111111110858</v>
      </c>
      <c r="BF1058" t="e">
        <f t="shared" ca="1" si="68"/>
        <v>#VALUE!</v>
      </c>
      <c r="BG1058" t="e">
        <f t="shared" ca="1" si="69"/>
        <v>#VALUE!</v>
      </c>
    </row>
    <row r="1059" spans="57:59" x14ac:dyDescent="0.2">
      <c r="BE1059" s="19">
        <f t="shared" si="70"/>
        <v>0.89930555555555303</v>
      </c>
      <c r="BF1059" t="e">
        <f t="shared" ca="1" si="68"/>
        <v>#VALUE!</v>
      </c>
      <c r="BG1059" t="e">
        <f t="shared" ca="1" si="69"/>
        <v>#VALUE!</v>
      </c>
    </row>
    <row r="1060" spans="57:59" x14ac:dyDescent="0.2">
      <c r="BE1060" s="19">
        <f t="shared" si="70"/>
        <v>0.89999999999999747</v>
      </c>
      <c r="BF1060" t="e">
        <f t="shared" ca="1" si="68"/>
        <v>#VALUE!</v>
      </c>
      <c r="BG1060" t="e">
        <f t="shared" ca="1" si="69"/>
        <v>#VALUE!</v>
      </c>
    </row>
    <row r="1061" spans="57:59" x14ac:dyDescent="0.2">
      <c r="BE1061" s="19">
        <f t="shared" si="70"/>
        <v>0.90069444444444191</v>
      </c>
      <c r="BF1061" t="e">
        <f t="shared" ca="1" si="68"/>
        <v>#VALUE!</v>
      </c>
      <c r="BG1061" t="e">
        <f t="shared" ca="1" si="69"/>
        <v>#VALUE!</v>
      </c>
    </row>
    <row r="1062" spans="57:59" x14ac:dyDescent="0.2">
      <c r="BE1062" s="19">
        <f t="shared" si="70"/>
        <v>0.90138888888888635</v>
      </c>
      <c r="BF1062" t="e">
        <f t="shared" ca="1" si="68"/>
        <v>#VALUE!</v>
      </c>
      <c r="BG1062" t="e">
        <f t="shared" ca="1" si="69"/>
        <v>#VALUE!</v>
      </c>
    </row>
    <row r="1063" spans="57:59" x14ac:dyDescent="0.2">
      <c r="BE1063" s="19">
        <f t="shared" si="70"/>
        <v>0.90208333333333079</v>
      </c>
      <c r="BF1063" t="e">
        <f t="shared" ca="1" si="68"/>
        <v>#VALUE!</v>
      </c>
      <c r="BG1063" t="e">
        <f t="shared" ca="1" si="69"/>
        <v>#VALUE!</v>
      </c>
    </row>
    <row r="1064" spans="57:59" x14ac:dyDescent="0.2">
      <c r="BE1064" s="19">
        <f t="shared" si="70"/>
        <v>0.90277777777777524</v>
      </c>
      <c r="BF1064" t="e">
        <f t="shared" ca="1" si="68"/>
        <v>#VALUE!</v>
      </c>
      <c r="BG1064" t="e">
        <f t="shared" ca="1" si="69"/>
        <v>#VALUE!</v>
      </c>
    </row>
    <row r="1065" spans="57:59" x14ac:dyDescent="0.2">
      <c r="BE1065" s="19">
        <f t="shared" si="70"/>
        <v>0.90347222222221968</v>
      </c>
      <c r="BF1065" t="e">
        <f t="shared" ca="1" si="68"/>
        <v>#VALUE!</v>
      </c>
      <c r="BG1065" t="e">
        <f t="shared" ca="1" si="69"/>
        <v>#VALUE!</v>
      </c>
    </row>
    <row r="1066" spans="57:59" x14ac:dyDescent="0.2">
      <c r="BE1066" s="19">
        <f t="shared" si="70"/>
        <v>0.90416666666666412</v>
      </c>
      <c r="BF1066" t="e">
        <f t="shared" ca="1" si="68"/>
        <v>#VALUE!</v>
      </c>
      <c r="BG1066" t="e">
        <f t="shared" ca="1" si="69"/>
        <v>#VALUE!</v>
      </c>
    </row>
    <row r="1067" spans="57:59" x14ac:dyDescent="0.2">
      <c r="BE1067" s="19">
        <f t="shared" si="70"/>
        <v>0.90486111111110856</v>
      </c>
      <c r="BF1067" t="e">
        <f t="shared" ca="1" si="68"/>
        <v>#VALUE!</v>
      </c>
      <c r="BG1067" t="e">
        <f t="shared" ca="1" si="69"/>
        <v>#VALUE!</v>
      </c>
    </row>
    <row r="1068" spans="57:59" x14ac:dyDescent="0.2">
      <c r="BE1068" s="19">
        <f t="shared" si="70"/>
        <v>0.905555555555553</v>
      </c>
      <c r="BF1068" t="e">
        <f t="shared" ca="1" si="68"/>
        <v>#VALUE!</v>
      </c>
      <c r="BG1068" t="e">
        <f t="shared" ca="1" si="69"/>
        <v>#VALUE!</v>
      </c>
    </row>
    <row r="1069" spans="57:59" x14ac:dyDescent="0.2">
      <c r="BE1069" s="19">
        <f t="shared" si="70"/>
        <v>0.90624999999999745</v>
      </c>
      <c r="BF1069" t="e">
        <f t="shared" ca="1" si="68"/>
        <v>#VALUE!</v>
      </c>
      <c r="BG1069" t="e">
        <f t="shared" ca="1" si="69"/>
        <v>#VALUE!</v>
      </c>
    </row>
    <row r="1070" spans="57:59" x14ac:dyDescent="0.2">
      <c r="BE1070" s="19">
        <f t="shared" si="70"/>
        <v>0.90694444444444189</v>
      </c>
      <c r="BF1070" t="e">
        <f t="shared" ca="1" si="68"/>
        <v>#VALUE!</v>
      </c>
      <c r="BG1070" t="e">
        <f t="shared" ca="1" si="69"/>
        <v>#VALUE!</v>
      </c>
    </row>
    <row r="1071" spans="57:59" x14ac:dyDescent="0.2">
      <c r="BE1071" s="19">
        <f t="shared" si="70"/>
        <v>0.90763888888888633</v>
      </c>
      <c r="BF1071" t="e">
        <f t="shared" ca="1" si="68"/>
        <v>#VALUE!</v>
      </c>
      <c r="BG1071" t="e">
        <f t="shared" ca="1" si="69"/>
        <v>#VALUE!</v>
      </c>
    </row>
    <row r="1072" spans="57:59" x14ac:dyDescent="0.2">
      <c r="BE1072" s="19">
        <f t="shared" si="70"/>
        <v>0.90833333333333077</v>
      </c>
      <c r="BF1072" t="e">
        <f t="shared" ca="1" si="68"/>
        <v>#VALUE!</v>
      </c>
      <c r="BG1072" t="e">
        <f t="shared" ca="1" si="69"/>
        <v>#VALUE!</v>
      </c>
    </row>
    <row r="1073" spans="57:59" x14ac:dyDescent="0.2">
      <c r="BE1073" s="19">
        <f t="shared" si="70"/>
        <v>0.90902777777777521</v>
      </c>
      <c r="BF1073" t="e">
        <f t="shared" ca="1" si="68"/>
        <v>#VALUE!</v>
      </c>
      <c r="BG1073" t="e">
        <f t="shared" ca="1" si="69"/>
        <v>#VALUE!</v>
      </c>
    </row>
    <row r="1074" spans="57:59" x14ac:dyDescent="0.2">
      <c r="BE1074" s="19">
        <f t="shared" si="70"/>
        <v>0.90972222222221966</v>
      </c>
      <c r="BF1074" t="e">
        <f t="shared" ca="1" si="68"/>
        <v>#VALUE!</v>
      </c>
      <c r="BG1074" t="e">
        <f t="shared" ca="1" si="69"/>
        <v>#VALUE!</v>
      </c>
    </row>
    <row r="1075" spans="57:59" x14ac:dyDescent="0.2">
      <c r="BE1075" s="19">
        <f t="shared" si="70"/>
        <v>0.9104166666666641</v>
      </c>
      <c r="BF1075" t="e">
        <f t="shared" ca="1" si="68"/>
        <v>#VALUE!</v>
      </c>
      <c r="BG1075" t="e">
        <f t="shared" ca="1" si="69"/>
        <v>#VALUE!</v>
      </c>
    </row>
    <row r="1076" spans="57:59" x14ac:dyDescent="0.2">
      <c r="BE1076" s="19">
        <f t="shared" si="70"/>
        <v>0.91111111111110854</v>
      </c>
      <c r="BF1076" t="e">
        <f t="shared" ca="1" si="68"/>
        <v>#VALUE!</v>
      </c>
      <c r="BG1076" t="e">
        <f t="shared" ca="1" si="69"/>
        <v>#VALUE!</v>
      </c>
    </row>
    <row r="1077" spans="57:59" x14ac:dyDescent="0.2">
      <c r="BE1077" s="19">
        <f t="shared" si="70"/>
        <v>0.91180555555555298</v>
      </c>
      <c r="BF1077" t="e">
        <f t="shared" ca="1" si="68"/>
        <v>#VALUE!</v>
      </c>
      <c r="BG1077" t="e">
        <f t="shared" ca="1" si="69"/>
        <v>#VALUE!</v>
      </c>
    </row>
    <row r="1078" spans="57:59" x14ac:dyDescent="0.2">
      <c r="BE1078" s="19">
        <f t="shared" si="70"/>
        <v>0.91249999999999742</v>
      </c>
      <c r="BF1078" t="e">
        <f t="shared" ca="1" si="68"/>
        <v>#VALUE!</v>
      </c>
      <c r="BG1078" t="e">
        <f t="shared" ca="1" si="69"/>
        <v>#VALUE!</v>
      </c>
    </row>
    <row r="1079" spans="57:59" x14ac:dyDescent="0.2">
      <c r="BE1079" s="19">
        <f t="shared" si="70"/>
        <v>0.91319444444444187</v>
      </c>
      <c r="BF1079" t="e">
        <f t="shared" ca="1" si="68"/>
        <v>#VALUE!</v>
      </c>
      <c r="BG1079" t="e">
        <f t="shared" ca="1" si="69"/>
        <v>#VALUE!</v>
      </c>
    </row>
    <row r="1080" spans="57:59" x14ac:dyDescent="0.2">
      <c r="BE1080" s="19">
        <f t="shared" si="70"/>
        <v>0.91388888888888631</v>
      </c>
      <c r="BF1080" t="e">
        <f t="shared" ca="1" si="68"/>
        <v>#VALUE!</v>
      </c>
      <c r="BG1080" t="e">
        <f t="shared" ca="1" si="69"/>
        <v>#VALUE!</v>
      </c>
    </row>
    <row r="1081" spans="57:59" x14ac:dyDescent="0.2">
      <c r="BE1081" s="19">
        <f t="shared" si="70"/>
        <v>0.91458333333333075</v>
      </c>
      <c r="BF1081" t="e">
        <f t="shared" ca="1" si="68"/>
        <v>#VALUE!</v>
      </c>
      <c r="BG1081" t="e">
        <f t="shared" ca="1" si="69"/>
        <v>#VALUE!</v>
      </c>
    </row>
    <row r="1082" spans="57:59" x14ac:dyDescent="0.2">
      <c r="BE1082" s="19">
        <f t="shared" si="70"/>
        <v>0.91527777777777519</v>
      </c>
      <c r="BF1082" t="e">
        <f t="shared" ca="1" si="68"/>
        <v>#VALUE!</v>
      </c>
      <c r="BG1082" t="e">
        <f t="shared" ca="1" si="69"/>
        <v>#VALUE!</v>
      </c>
    </row>
    <row r="1083" spans="57:59" x14ac:dyDescent="0.2">
      <c r="BE1083" s="19">
        <f t="shared" si="70"/>
        <v>0.91597222222221963</v>
      </c>
      <c r="BF1083" t="e">
        <f t="shared" ca="1" si="68"/>
        <v>#VALUE!</v>
      </c>
      <c r="BG1083" t="e">
        <f t="shared" ca="1" si="69"/>
        <v>#VALUE!</v>
      </c>
    </row>
    <row r="1084" spans="57:59" x14ac:dyDescent="0.2">
      <c r="BE1084" s="19">
        <f t="shared" si="70"/>
        <v>0.91666666666666408</v>
      </c>
      <c r="BF1084" t="e">
        <f t="shared" ca="1" si="68"/>
        <v>#VALUE!</v>
      </c>
      <c r="BG1084" t="e">
        <f t="shared" ca="1" si="69"/>
        <v>#VALUE!</v>
      </c>
    </row>
    <row r="1085" spans="57:59" x14ac:dyDescent="0.2">
      <c r="BE1085" s="19">
        <f t="shared" si="70"/>
        <v>0.91736111111110852</v>
      </c>
      <c r="BF1085" t="e">
        <f t="shared" ca="1" si="68"/>
        <v>#VALUE!</v>
      </c>
      <c r="BG1085" t="e">
        <f t="shared" ca="1" si="69"/>
        <v>#VALUE!</v>
      </c>
    </row>
    <row r="1086" spans="57:59" x14ac:dyDescent="0.2">
      <c r="BE1086" s="19">
        <f t="shared" si="70"/>
        <v>0.91805555555555296</v>
      </c>
      <c r="BF1086" t="e">
        <f t="shared" ca="1" si="68"/>
        <v>#VALUE!</v>
      </c>
      <c r="BG1086" t="e">
        <f t="shared" ca="1" si="69"/>
        <v>#VALUE!</v>
      </c>
    </row>
    <row r="1087" spans="57:59" x14ac:dyDescent="0.2">
      <c r="BE1087" s="19">
        <f t="shared" si="70"/>
        <v>0.9187499999999974</v>
      </c>
      <c r="BF1087" t="e">
        <f t="shared" ca="1" si="68"/>
        <v>#VALUE!</v>
      </c>
      <c r="BG1087" t="e">
        <f t="shared" ca="1" si="69"/>
        <v>#VALUE!</v>
      </c>
    </row>
    <row r="1088" spans="57:59" x14ac:dyDescent="0.2">
      <c r="BE1088" s="19">
        <f t="shared" si="70"/>
        <v>0.91944444444444184</v>
      </c>
      <c r="BF1088" t="e">
        <f t="shared" ca="1" si="68"/>
        <v>#VALUE!</v>
      </c>
      <c r="BG1088" t="e">
        <f t="shared" ca="1" si="69"/>
        <v>#VALUE!</v>
      </c>
    </row>
    <row r="1089" spans="57:59" x14ac:dyDescent="0.2">
      <c r="BE1089" s="19">
        <f t="shared" si="70"/>
        <v>0.92013888888888629</v>
      </c>
      <c r="BF1089" t="e">
        <f t="shared" ca="1" si="68"/>
        <v>#VALUE!</v>
      </c>
      <c r="BG1089" t="e">
        <f t="shared" ca="1" si="69"/>
        <v>#VALUE!</v>
      </c>
    </row>
    <row r="1090" spans="57:59" x14ac:dyDescent="0.2">
      <c r="BE1090" s="19">
        <f t="shared" si="70"/>
        <v>0.92083333333333073</v>
      </c>
      <c r="BF1090" t="e">
        <f t="shared" ca="1" si="68"/>
        <v>#VALUE!</v>
      </c>
      <c r="BG1090" t="e">
        <f t="shared" ca="1" si="69"/>
        <v>#VALUE!</v>
      </c>
    </row>
    <row r="1091" spans="57:59" x14ac:dyDescent="0.2">
      <c r="BE1091" s="19">
        <f t="shared" si="70"/>
        <v>0.92152777777777517</v>
      </c>
      <c r="BF1091" t="e">
        <f t="shared" ca="1" si="68"/>
        <v>#VALUE!</v>
      </c>
      <c r="BG1091" t="e">
        <f t="shared" ca="1" si="69"/>
        <v>#VALUE!</v>
      </c>
    </row>
    <row r="1092" spans="57:59" x14ac:dyDescent="0.2">
      <c r="BE1092" s="19">
        <f t="shared" si="70"/>
        <v>0.92222222222221961</v>
      </c>
      <c r="BF1092" t="e">
        <f t="shared" ref="BF1092:BF1155" ca="1" si="71">IF(BG1092=0,AVERAGE(OFFSET(BH1092,0,0,1,$A$1-1)),AVERAGE(BG1092,OFFSET(BH1092,0,0,1,$A$1-1)))</f>
        <v>#VALUE!</v>
      </c>
      <c r="BG1092" t="e">
        <f t="shared" ca="1" si="69"/>
        <v>#VALUE!</v>
      </c>
    </row>
    <row r="1093" spans="57:59" x14ac:dyDescent="0.2">
      <c r="BE1093" s="19">
        <f t="shared" si="70"/>
        <v>0.92291666666666405</v>
      </c>
      <c r="BF1093" t="e">
        <f t="shared" ca="1" si="71"/>
        <v>#VALUE!</v>
      </c>
      <c r="BG1093" t="e">
        <f t="shared" ref="BG1093:BG1156" ca="1" si="72">IF(BE1093&lt;$B$5-1/1440,0,OFFSET($AA$4,(BE1093-$B$4)*1440,0,1,1))</f>
        <v>#VALUE!</v>
      </c>
    </row>
    <row r="1094" spans="57:59" x14ac:dyDescent="0.2">
      <c r="BE1094" s="19">
        <f t="shared" ref="BE1094:BE1157" si="73">BE1093+1/1440</f>
        <v>0.9236111111111085</v>
      </c>
      <c r="BF1094" t="e">
        <f t="shared" ca="1" si="71"/>
        <v>#VALUE!</v>
      </c>
      <c r="BG1094" t="e">
        <f t="shared" ca="1" si="72"/>
        <v>#VALUE!</v>
      </c>
    </row>
    <row r="1095" spans="57:59" x14ac:dyDescent="0.2">
      <c r="BE1095" s="19">
        <f t="shared" si="73"/>
        <v>0.92430555555555294</v>
      </c>
      <c r="BF1095" t="e">
        <f t="shared" ca="1" si="71"/>
        <v>#VALUE!</v>
      </c>
      <c r="BG1095" t="e">
        <f t="shared" ca="1" si="72"/>
        <v>#VALUE!</v>
      </c>
    </row>
    <row r="1096" spans="57:59" x14ac:dyDescent="0.2">
      <c r="BE1096" s="19">
        <f t="shared" si="73"/>
        <v>0.92499999999999738</v>
      </c>
      <c r="BF1096" t="e">
        <f t="shared" ca="1" si="71"/>
        <v>#VALUE!</v>
      </c>
      <c r="BG1096" t="e">
        <f t="shared" ca="1" si="72"/>
        <v>#VALUE!</v>
      </c>
    </row>
    <row r="1097" spans="57:59" x14ac:dyDescent="0.2">
      <c r="BE1097" s="19">
        <f t="shared" si="73"/>
        <v>0.92569444444444182</v>
      </c>
      <c r="BF1097" t="e">
        <f t="shared" ca="1" si="71"/>
        <v>#VALUE!</v>
      </c>
      <c r="BG1097" t="e">
        <f t="shared" ca="1" si="72"/>
        <v>#VALUE!</v>
      </c>
    </row>
    <row r="1098" spans="57:59" x14ac:dyDescent="0.2">
      <c r="BE1098" s="19">
        <f t="shared" si="73"/>
        <v>0.92638888888888626</v>
      </c>
      <c r="BF1098" t="e">
        <f t="shared" ca="1" si="71"/>
        <v>#VALUE!</v>
      </c>
      <c r="BG1098" t="e">
        <f t="shared" ca="1" si="72"/>
        <v>#VALUE!</v>
      </c>
    </row>
    <row r="1099" spans="57:59" x14ac:dyDescent="0.2">
      <c r="BE1099" s="19">
        <f t="shared" si="73"/>
        <v>0.92708333333333071</v>
      </c>
      <c r="BF1099" t="e">
        <f t="shared" ca="1" si="71"/>
        <v>#VALUE!</v>
      </c>
      <c r="BG1099" t="e">
        <f t="shared" ca="1" si="72"/>
        <v>#VALUE!</v>
      </c>
    </row>
    <row r="1100" spans="57:59" x14ac:dyDescent="0.2">
      <c r="BE1100" s="19">
        <f t="shared" si="73"/>
        <v>0.92777777777777515</v>
      </c>
      <c r="BF1100" t="e">
        <f t="shared" ca="1" si="71"/>
        <v>#VALUE!</v>
      </c>
      <c r="BG1100" t="e">
        <f t="shared" ca="1" si="72"/>
        <v>#VALUE!</v>
      </c>
    </row>
    <row r="1101" spans="57:59" x14ac:dyDescent="0.2">
      <c r="BE1101" s="19">
        <f t="shared" si="73"/>
        <v>0.92847222222221959</v>
      </c>
      <c r="BF1101" t="e">
        <f t="shared" ca="1" si="71"/>
        <v>#VALUE!</v>
      </c>
      <c r="BG1101" t="e">
        <f t="shared" ca="1" si="72"/>
        <v>#VALUE!</v>
      </c>
    </row>
    <row r="1102" spans="57:59" x14ac:dyDescent="0.2">
      <c r="BE1102" s="19">
        <f t="shared" si="73"/>
        <v>0.92916666666666403</v>
      </c>
      <c r="BF1102" t="e">
        <f t="shared" ca="1" si="71"/>
        <v>#VALUE!</v>
      </c>
      <c r="BG1102" t="e">
        <f t="shared" ca="1" si="72"/>
        <v>#VALUE!</v>
      </c>
    </row>
    <row r="1103" spans="57:59" x14ac:dyDescent="0.2">
      <c r="BE1103" s="19">
        <f t="shared" si="73"/>
        <v>0.92986111111110847</v>
      </c>
      <c r="BF1103" t="e">
        <f t="shared" ca="1" si="71"/>
        <v>#VALUE!</v>
      </c>
      <c r="BG1103" t="e">
        <f t="shared" ca="1" si="72"/>
        <v>#VALUE!</v>
      </c>
    </row>
    <row r="1104" spans="57:59" x14ac:dyDescent="0.2">
      <c r="BE1104" s="19">
        <f t="shared" si="73"/>
        <v>0.93055555555555292</v>
      </c>
      <c r="BF1104" t="e">
        <f t="shared" ca="1" si="71"/>
        <v>#VALUE!</v>
      </c>
      <c r="BG1104" t="e">
        <f t="shared" ca="1" si="72"/>
        <v>#VALUE!</v>
      </c>
    </row>
    <row r="1105" spans="57:59" x14ac:dyDescent="0.2">
      <c r="BE1105" s="19">
        <f t="shared" si="73"/>
        <v>0.93124999999999736</v>
      </c>
      <c r="BF1105" t="e">
        <f t="shared" ca="1" si="71"/>
        <v>#VALUE!</v>
      </c>
      <c r="BG1105" t="e">
        <f t="shared" ca="1" si="72"/>
        <v>#VALUE!</v>
      </c>
    </row>
    <row r="1106" spans="57:59" x14ac:dyDescent="0.2">
      <c r="BE1106" s="19">
        <f t="shared" si="73"/>
        <v>0.9319444444444418</v>
      </c>
      <c r="BF1106" t="e">
        <f t="shared" ca="1" si="71"/>
        <v>#VALUE!</v>
      </c>
      <c r="BG1106" t="e">
        <f t="shared" ca="1" si="72"/>
        <v>#VALUE!</v>
      </c>
    </row>
    <row r="1107" spans="57:59" x14ac:dyDescent="0.2">
      <c r="BE1107" s="19">
        <f t="shared" si="73"/>
        <v>0.93263888888888624</v>
      </c>
      <c r="BF1107" t="e">
        <f t="shared" ca="1" si="71"/>
        <v>#VALUE!</v>
      </c>
      <c r="BG1107" t="e">
        <f t="shared" ca="1" si="72"/>
        <v>#VALUE!</v>
      </c>
    </row>
    <row r="1108" spans="57:59" x14ac:dyDescent="0.2">
      <c r="BE1108" s="19">
        <f t="shared" si="73"/>
        <v>0.93333333333333068</v>
      </c>
      <c r="BF1108" t="e">
        <f t="shared" ca="1" si="71"/>
        <v>#VALUE!</v>
      </c>
      <c r="BG1108" t="e">
        <f t="shared" ca="1" si="72"/>
        <v>#VALUE!</v>
      </c>
    </row>
    <row r="1109" spans="57:59" x14ac:dyDescent="0.2">
      <c r="BE1109" s="19">
        <f t="shared" si="73"/>
        <v>0.93402777777777513</v>
      </c>
      <c r="BF1109" t="e">
        <f t="shared" ca="1" si="71"/>
        <v>#VALUE!</v>
      </c>
      <c r="BG1109" t="e">
        <f t="shared" ca="1" si="72"/>
        <v>#VALUE!</v>
      </c>
    </row>
    <row r="1110" spans="57:59" x14ac:dyDescent="0.2">
      <c r="BE1110" s="19">
        <f t="shared" si="73"/>
        <v>0.93472222222221957</v>
      </c>
      <c r="BF1110" t="e">
        <f t="shared" ca="1" si="71"/>
        <v>#VALUE!</v>
      </c>
      <c r="BG1110" t="e">
        <f t="shared" ca="1" si="72"/>
        <v>#VALUE!</v>
      </c>
    </row>
    <row r="1111" spans="57:59" x14ac:dyDescent="0.2">
      <c r="BE1111" s="19">
        <f t="shared" si="73"/>
        <v>0.93541666666666401</v>
      </c>
      <c r="BF1111" t="e">
        <f t="shared" ca="1" si="71"/>
        <v>#VALUE!</v>
      </c>
      <c r="BG1111" t="e">
        <f t="shared" ca="1" si="72"/>
        <v>#VALUE!</v>
      </c>
    </row>
    <row r="1112" spans="57:59" x14ac:dyDescent="0.2">
      <c r="BE1112" s="19">
        <f t="shared" si="73"/>
        <v>0.93611111111110845</v>
      </c>
      <c r="BF1112" t="e">
        <f t="shared" ca="1" si="71"/>
        <v>#VALUE!</v>
      </c>
      <c r="BG1112" t="e">
        <f t="shared" ca="1" si="72"/>
        <v>#VALUE!</v>
      </c>
    </row>
    <row r="1113" spans="57:59" x14ac:dyDescent="0.2">
      <c r="BE1113" s="19">
        <f t="shared" si="73"/>
        <v>0.93680555555555289</v>
      </c>
      <c r="BF1113" t="e">
        <f t="shared" ca="1" si="71"/>
        <v>#VALUE!</v>
      </c>
      <c r="BG1113" t="e">
        <f t="shared" ca="1" si="72"/>
        <v>#VALUE!</v>
      </c>
    </row>
    <row r="1114" spans="57:59" x14ac:dyDescent="0.2">
      <c r="BE1114" s="19">
        <f t="shared" si="73"/>
        <v>0.93749999999999734</v>
      </c>
      <c r="BF1114" t="e">
        <f t="shared" ca="1" si="71"/>
        <v>#VALUE!</v>
      </c>
      <c r="BG1114" t="e">
        <f t="shared" ca="1" si="72"/>
        <v>#VALUE!</v>
      </c>
    </row>
    <row r="1115" spans="57:59" x14ac:dyDescent="0.2">
      <c r="BE1115" s="19">
        <f t="shared" si="73"/>
        <v>0.93819444444444178</v>
      </c>
      <c r="BF1115" t="e">
        <f t="shared" ca="1" si="71"/>
        <v>#VALUE!</v>
      </c>
      <c r="BG1115" t="e">
        <f t="shared" ca="1" si="72"/>
        <v>#VALUE!</v>
      </c>
    </row>
    <row r="1116" spans="57:59" x14ac:dyDescent="0.2">
      <c r="BE1116" s="19">
        <f t="shared" si="73"/>
        <v>0.93888888888888622</v>
      </c>
      <c r="BF1116" t="e">
        <f t="shared" ca="1" si="71"/>
        <v>#VALUE!</v>
      </c>
      <c r="BG1116" t="e">
        <f t="shared" ca="1" si="72"/>
        <v>#VALUE!</v>
      </c>
    </row>
    <row r="1117" spans="57:59" x14ac:dyDescent="0.2">
      <c r="BE1117" s="19">
        <f t="shared" si="73"/>
        <v>0.93958333333333066</v>
      </c>
      <c r="BF1117" t="e">
        <f t="shared" ca="1" si="71"/>
        <v>#VALUE!</v>
      </c>
      <c r="BG1117" t="e">
        <f t="shared" ca="1" si="72"/>
        <v>#VALUE!</v>
      </c>
    </row>
    <row r="1118" spans="57:59" x14ac:dyDescent="0.2">
      <c r="BE1118" s="19">
        <f t="shared" si="73"/>
        <v>0.9402777777777751</v>
      </c>
      <c r="BF1118" t="e">
        <f t="shared" ca="1" si="71"/>
        <v>#VALUE!</v>
      </c>
      <c r="BG1118" t="e">
        <f t="shared" ca="1" si="72"/>
        <v>#VALUE!</v>
      </c>
    </row>
    <row r="1119" spans="57:59" x14ac:dyDescent="0.2">
      <c r="BE1119" s="19">
        <f t="shared" si="73"/>
        <v>0.94097222222221955</v>
      </c>
      <c r="BF1119" t="e">
        <f t="shared" ca="1" si="71"/>
        <v>#VALUE!</v>
      </c>
      <c r="BG1119" t="e">
        <f t="shared" ca="1" si="72"/>
        <v>#VALUE!</v>
      </c>
    </row>
    <row r="1120" spans="57:59" x14ac:dyDescent="0.2">
      <c r="BE1120" s="19">
        <f t="shared" si="73"/>
        <v>0.94166666666666399</v>
      </c>
      <c r="BF1120" t="e">
        <f t="shared" ca="1" si="71"/>
        <v>#VALUE!</v>
      </c>
      <c r="BG1120" t="e">
        <f t="shared" ca="1" si="72"/>
        <v>#VALUE!</v>
      </c>
    </row>
    <row r="1121" spans="57:59" x14ac:dyDescent="0.2">
      <c r="BE1121" s="19">
        <f t="shared" si="73"/>
        <v>0.94236111111110843</v>
      </c>
      <c r="BF1121" t="e">
        <f t="shared" ca="1" si="71"/>
        <v>#VALUE!</v>
      </c>
      <c r="BG1121" t="e">
        <f t="shared" ca="1" si="72"/>
        <v>#VALUE!</v>
      </c>
    </row>
    <row r="1122" spans="57:59" x14ac:dyDescent="0.2">
      <c r="BE1122" s="19">
        <f t="shared" si="73"/>
        <v>0.94305555555555287</v>
      </c>
      <c r="BF1122" t="e">
        <f t="shared" ca="1" si="71"/>
        <v>#VALUE!</v>
      </c>
      <c r="BG1122" t="e">
        <f t="shared" ca="1" si="72"/>
        <v>#VALUE!</v>
      </c>
    </row>
    <row r="1123" spans="57:59" x14ac:dyDescent="0.2">
      <c r="BE1123" s="19">
        <f t="shared" si="73"/>
        <v>0.94374999999999731</v>
      </c>
      <c r="BF1123" t="e">
        <f t="shared" ca="1" si="71"/>
        <v>#VALUE!</v>
      </c>
      <c r="BG1123" t="e">
        <f t="shared" ca="1" si="72"/>
        <v>#VALUE!</v>
      </c>
    </row>
    <row r="1124" spans="57:59" x14ac:dyDescent="0.2">
      <c r="BE1124" s="19">
        <f t="shared" si="73"/>
        <v>0.94444444444444176</v>
      </c>
      <c r="BF1124" t="e">
        <f t="shared" ca="1" si="71"/>
        <v>#VALUE!</v>
      </c>
      <c r="BG1124" t="e">
        <f t="shared" ca="1" si="72"/>
        <v>#VALUE!</v>
      </c>
    </row>
    <row r="1125" spans="57:59" x14ac:dyDescent="0.2">
      <c r="BE1125" s="19">
        <f t="shared" si="73"/>
        <v>0.9451388888888862</v>
      </c>
      <c r="BF1125" t="e">
        <f t="shared" ca="1" si="71"/>
        <v>#VALUE!</v>
      </c>
      <c r="BG1125" t="e">
        <f t="shared" ca="1" si="72"/>
        <v>#VALUE!</v>
      </c>
    </row>
    <row r="1126" spans="57:59" x14ac:dyDescent="0.2">
      <c r="BE1126" s="19">
        <f t="shared" si="73"/>
        <v>0.94583333333333064</v>
      </c>
      <c r="BF1126" t="e">
        <f t="shared" ca="1" si="71"/>
        <v>#VALUE!</v>
      </c>
      <c r="BG1126" t="e">
        <f t="shared" ca="1" si="72"/>
        <v>#VALUE!</v>
      </c>
    </row>
    <row r="1127" spans="57:59" x14ac:dyDescent="0.2">
      <c r="BE1127" s="19">
        <f t="shared" si="73"/>
        <v>0.94652777777777508</v>
      </c>
      <c r="BF1127" t="e">
        <f t="shared" ca="1" si="71"/>
        <v>#VALUE!</v>
      </c>
      <c r="BG1127" t="e">
        <f t="shared" ca="1" si="72"/>
        <v>#VALUE!</v>
      </c>
    </row>
    <row r="1128" spans="57:59" x14ac:dyDescent="0.2">
      <c r="BE1128" s="19">
        <f t="shared" si="73"/>
        <v>0.94722222222221952</v>
      </c>
      <c r="BF1128" t="e">
        <f t="shared" ca="1" si="71"/>
        <v>#VALUE!</v>
      </c>
      <c r="BG1128" t="e">
        <f t="shared" ca="1" si="72"/>
        <v>#VALUE!</v>
      </c>
    </row>
    <row r="1129" spans="57:59" x14ac:dyDescent="0.2">
      <c r="BE1129" s="19">
        <f t="shared" si="73"/>
        <v>0.94791666666666397</v>
      </c>
      <c r="BF1129" t="e">
        <f t="shared" ca="1" si="71"/>
        <v>#VALUE!</v>
      </c>
      <c r="BG1129" t="e">
        <f t="shared" ca="1" si="72"/>
        <v>#VALUE!</v>
      </c>
    </row>
    <row r="1130" spans="57:59" x14ac:dyDescent="0.2">
      <c r="BE1130" s="19">
        <f t="shared" si="73"/>
        <v>0.94861111111110841</v>
      </c>
      <c r="BF1130" t="e">
        <f t="shared" ca="1" si="71"/>
        <v>#VALUE!</v>
      </c>
      <c r="BG1130" t="e">
        <f t="shared" ca="1" si="72"/>
        <v>#VALUE!</v>
      </c>
    </row>
    <row r="1131" spans="57:59" x14ac:dyDescent="0.2">
      <c r="BE1131" s="19">
        <f t="shared" si="73"/>
        <v>0.94930555555555285</v>
      </c>
      <c r="BF1131" t="e">
        <f t="shared" ca="1" si="71"/>
        <v>#VALUE!</v>
      </c>
      <c r="BG1131" t="e">
        <f t="shared" ca="1" si="72"/>
        <v>#VALUE!</v>
      </c>
    </row>
    <row r="1132" spans="57:59" x14ac:dyDescent="0.2">
      <c r="BE1132" s="19">
        <f t="shared" si="73"/>
        <v>0.94999999999999729</v>
      </c>
      <c r="BF1132" t="e">
        <f t="shared" ca="1" si="71"/>
        <v>#VALUE!</v>
      </c>
      <c r="BG1132" t="e">
        <f t="shared" ca="1" si="72"/>
        <v>#VALUE!</v>
      </c>
    </row>
    <row r="1133" spans="57:59" x14ac:dyDescent="0.2">
      <c r="BE1133" s="19">
        <f t="shared" si="73"/>
        <v>0.95069444444444173</v>
      </c>
      <c r="BF1133" t="e">
        <f t="shared" ca="1" si="71"/>
        <v>#VALUE!</v>
      </c>
      <c r="BG1133" t="e">
        <f t="shared" ca="1" si="72"/>
        <v>#VALUE!</v>
      </c>
    </row>
    <row r="1134" spans="57:59" x14ac:dyDescent="0.2">
      <c r="BE1134" s="19">
        <f t="shared" si="73"/>
        <v>0.95138888888888618</v>
      </c>
      <c r="BF1134" t="e">
        <f t="shared" ca="1" si="71"/>
        <v>#VALUE!</v>
      </c>
      <c r="BG1134" t="e">
        <f t="shared" ca="1" si="72"/>
        <v>#VALUE!</v>
      </c>
    </row>
    <row r="1135" spans="57:59" x14ac:dyDescent="0.2">
      <c r="BE1135" s="19">
        <f t="shared" si="73"/>
        <v>0.95208333333333062</v>
      </c>
      <c r="BF1135" t="e">
        <f t="shared" ca="1" si="71"/>
        <v>#VALUE!</v>
      </c>
      <c r="BG1135" t="e">
        <f t="shared" ca="1" si="72"/>
        <v>#VALUE!</v>
      </c>
    </row>
    <row r="1136" spans="57:59" x14ac:dyDescent="0.2">
      <c r="BE1136" s="19">
        <f t="shared" si="73"/>
        <v>0.95277777777777506</v>
      </c>
      <c r="BF1136" t="e">
        <f t="shared" ca="1" si="71"/>
        <v>#VALUE!</v>
      </c>
      <c r="BG1136" t="e">
        <f t="shared" ca="1" si="72"/>
        <v>#VALUE!</v>
      </c>
    </row>
    <row r="1137" spans="57:59" x14ac:dyDescent="0.2">
      <c r="BE1137" s="19">
        <f t="shared" si="73"/>
        <v>0.9534722222222195</v>
      </c>
      <c r="BF1137" t="e">
        <f t="shared" ca="1" si="71"/>
        <v>#VALUE!</v>
      </c>
      <c r="BG1137" t="e">
        <f t="shared" ca="1" si="72"/>
        <v>#VALUE!</v>
      </c>
    </row>
    <row r="1138" spans="57:59" x14ac:dyDescent="0.2">
      <c r="BE1138" s="19">
        <f t="shared" si="73"/>
        <v>0.95416666666666394</v>
      </c>
      <c r="BF1138" t="e">
        <f t="shared" ca="1" si="71"/>
        <v>#VALUE!</v>
      </c>
      <c r="BG1138" t="e">
        <f t="shared" ca="1" si="72"/>
        <v>#VALUE!</v>
      </c>
    </row>
    <row r="1139" spans="57:59" x14ac:dyDescent="0.2">
      <c r="BE1139" s="19">
        <f t="shared" si="73"/>
        <v>0.95486111111110838</v>
      </c>
      <c r="BF1139" t="e">
        <f t="shared" ca="1" si="71"/>
        <v>#VALUE!</v>
      </c>
      <c r="BG1139" t="e">
        <f t="shared" ca="1" si="72"/>
        <v>#VALUE!</v>
      </c>
    </row>
    <row r="1140" spans="57:59" x14ac:dyDescent="0.2">
      <c r="BE1140" s="19">
        <f t="shared" si="73"/>
        <v>0.95555555555555283</v>
      </c>
      <c r="BF1140" t="e">
        <f t="shared" ca="1" si="71"/>
        <v>#VALUE!</v>
      </c>
      <c r="BG1140" t="e">
        <f t="shared" ca="1" si="72"/>
        <v>#VALUE!</v>
      </c>
    </row>
    <row r="1141" spans="57:59" x14ac:dyDescent="0.2">
      <c r="BE1141" s="19">
        <f t="shared" si="73"/>
        <v>0.95624999999999727</v>
      </c>
      <c r="BF1141" t="e">
        <f t="shared" ca="1" si="71"/>
        <v>#VALUE!</v>
      </c>
      <c r="BG1141" t="e">
        <f t="shared" ca="1" si="72"/>
        <v>#VALUE!</v>
      </c>
    </row>
    <row r="1142" spans="57:59" x14ac:dyDescent="0.2">
      <c r="BE1142" s="19">
        <f t="shared" si="73"/>
        <v>0.95694444444444171</v>
      </c>
      <c r="BF1142" t="e">
        <f t="shared" ca="1" si="71"/>
        <v>#VALUE!</v>
      </c>
      <c r="BG1142" t="e">
        <f t="shared" ca="1" si="72"/>
        <v>#VALUE!</v>
      </c>
    </row>
    <row r="1143" spans="57:59" x14ac:dyDescent="0.2">
      <c r="BE1143" s="19">
        <f t="shared" si="73"/>
        <v>0.95763888888888615</v>
      </c>
      <c r="BF1143" t="e">
        <f t="shared" ca="1" si="71"/>
        <v>#VALUE!</v>
      </c>
      <c r="BG1143" t="e">
        <f t="shared" ca="1" si="72"/>
        <v>#VALUE!</v>
      </c>
    </row>
    <row r="1144" spans="57:59" x14ac:dyDescent="0.2">
      <c r="BE1144" s="19">
        <f t="shared" si="73"/>
        <v>0.95833333333333059</v>
      </c>
      <c r="BF1144" t="e">
        <f t="shared" ca="1" si="71"/>
        <v>#VALUE!</v>
      </c>
      <c r="BG1144" t="e">
        <f t="shared" ca="1" si="72"/>
        <v>#VALUE!</v>
      </c>
    </row>
    <row r="1145" spans="57:59" x14ac:dyDescent="0.2">
      <c r="BE1145" s="19">
        <f t="shared" si="73"/>
        <v>0.95902777777777504</v>
      </c>
      <c r="BF1145" t="e">
        <f t="shared" ca="1" si="71"/>
        <v>#VALUE!</v>
      </c>
      <c r="BG1145" t="e">
        <f t="shared" ca="1" si="72"/>
        <v>#VALUE!</v>
      </c>
    </row>
    <row r="1146" spans="57:59" x14ac:dyDescent="0.2">
      <c r="BE1146" s="19">
        <f t="shared" si="73"/>
        <v>0.95972222222221948</v>
      </c>
      <c r="BF1146" t="e">
        <f t="shared" ca="1" si="71"/>
        <v>#VALUE!</v>
      </c>
      <c r="BG1146" t="e">
        <f t="shared" ca="1" si="72"/>
        <v>#VALUE!</v>
      </c>
    </row>
    <row r="1147" spans="57:59" x14ac:dyDescent="0.2">
      <c r="BE1147" s="19">
        <f t="shared" si="73"/>
        <v>0.96041666666666392</v>
      </c>
      <c r="BF1147" t="e">
        <f t="shared" ca="1" si="71"/>
        <v>#VALUE!</v>
      </c>
      <c r="BG1147" t="e">
        <f t="shared" ca="1" si="72"/>
        <v>#VALUE!</v>
      </c>
    </row>
    <row r="1148" spans="57:59" x14ac:dyDescent="0.2">
      <c r="BE1148" s="19">
        <f t="shared" si="73"/>
        <v>0.96111111111110836</v>
      </c>
      <c r="BF1148" t="e">
        <f t="shared" ca="1" si="71"/>
        <v>#VALUE!</v>
      </c>
      <c r="BG1148" t="e">
        <f t="shared" ca="1" si="72"/>
        <v>#VALUE!</v>
      </c>
    </row>
    <row r="1149" spans="57:59" x14ac:dyDescent="0.2">
      <c r="BE1149" s="19">
        <f t="shared" si="73"/>
        <v>0.9618055555555528</v>
      </c>
      <c r="BF1149" t="e">
        <f t="shared" ca="1" si="71"/>
        <v>#VALUE!</v>
      </c>
      <c r="BG1149" t="e">
        <f t="shared" ca="1" si="72"/>
        <v>#VALUE!</v>
      </c>
    </row>
    <row r="1150" spans="57:59" x14ac:dyDescent="0.2">
      <c r="BE1150" s="19">
        <f t="shared" si="73"/>
        <v>0.96249999999999725</v>
      </c>
      <c r="BF1150" t="e">
        <f t="shared" ca="1" si="71"/>
        <v>#VALUE!</v>
      </c>
      <c r="BG1150" t="e">
        <f t="shared" ca="1" si="72"/>
        <v>#VALUE!</v>
      </c>
    </row>
    <row r="1151" spans="57:59" x14ac:dyDescent="0.2">
      <c r="BE1151" s="19">
        <f t="shared" si="73"/>
        <v>0.96319444444444169</v>
      </c>
      <c r="BF1151" t="e">
        <f t="shared" ca="1" si="71"/>
        <v>#VALUE!</v>
      </c>
      <c r="BG1151" t="e">
        <f t="shared" ca="1" si="72"/>
        <v>#VALUE!</v>
      </c>
    </row>
    <row r="1152" spans="57:59" x14ac:dyDescent="0.2">
      <c r="BE1152" s="19">
        <f t="shared" si="73"/>
        <v>0.96388888888888613</v>
      </c>
      <c r="BF1152" t="e">
        <f t="shared" ca="1" si="71"/>
        <v>#VALUE!</v>
      </c>
      <c r="BG1152" t="e">
        <f t="shared" ca="1" si="72"/>
        <v>#VALUE!</v>
      </c>
    </row>
    <row r="1153" spans="57:59" x14ac:dyDescent="0.2">
      <c r="BE1153" s="19">
        <f t="shared" si="73"/>
        <v>0.96458333333333057</v>
      </c>
      <c r="BF1153" t="e">
        <f t="shared" ca="1" si="71"/>
        <v>#VALUE!</v>
      </c>
      <c r="BG1153" t="e">
        <f t="shared" ca="1" si="72"/>
        <v>#VALUE!</v>
      </c>
    </row>
    <row r="1154" spans="57:59" x14ac:dyDescent="0.2">
      <c r="BE1154" s="19">
        <f t="shared" si="73"/>
        <v>0.96527777777777501</v>
      </c>
      <c r="BF1154" t="e">
        <f t="shared" ca="1" si="71"/>
        <v>#VALUE!</v>
      </c>
      <c r="BG1154" t="e">
        <f t="shared" ca="1" si="72"/>
        <v>#VALUE!</v>
      </c>
    </row>
    <row r="1155" spans="57:59" x14ac:dyDescent="0.2">
      <c r="BE1155" s="19">
        <f t="shared" si="73"/>
        <v>0.96597222222221946</v>
      </c>
      <c r="BF1155" t="e">
        <f t="shared" ca="1" si="71"/>
        <v>#VALUE!</v>
      </c>
      <c r="BG1155" t="e">
        <f t="shared" ca="1" si="72"/>
        <v>#VALUE!</v>
      </c>
    </row>
    <row r="1156" spans="57:59" x14ac:dyDescent="0.2">
      <c r="BE1156" s="19">
        <f t="shared" si="73"/>
        <v>0.9666666666666639</v>
      </c>
      <c r="BF1156" t="e">
        <f t="shared" ref="BF1156:BF1219" ca="1" si="74">IF(BG1156=0,AVERAGE(OFFSET(BH1156,0,0,1,$A$1-1)),AVERAGE(BG1156,OFFSET(BH1156,0,0,1,$A$1-1)))</f>
        <v>#VALUE!</v>
      </c>
      <c r="BG1156" t="e">
        <f t="shared" ca="1" si="72"/>
        <v>#VALUE!</v>
      </c>
    </row>
    <row r="1157" spans="57:59" x14ac:dyDescent="0.2">
      <c r="BE1157" s="19">
        <f t="shared" si="73"/>
        <v>0.96736111111110834</v>
      </c>
      <c r="BF1157" t="e">
        <f t="shared" ca="1" si="74"/>
        <v>#VALUE!</v>
      </c>
      <c r="BG1157" t="e">
        <f t="shared" ref="BG1157:BG1220" ca="1" si="75">IF(BE1157&lt;$B$5-1/1440,0,OFFSET($AA$4,(BE1157-$B$4)*1440,0,1,1))</f>
        <v>#VALUE!</v>
      </c>
    </row>
    <row r="1158" spans="57:59" x14ac:dyDescent="0.2">
      <c r="BE1158" s="19">
        <f t="shared" ref="BE1158:BE1221" si="76">BE1157+1/1440</f>
        <v>0.96805555555555278</v>
      </c>
      <c r="BF1158" t="e">
        <f t="shared" ca="1" si="74"/>
        <v>#VALUE!</v>
      </c>
      <c r="BG1158" t="e">
        <f t="shared" ca="1" si="75"/>
        <v>#VALUE!</v>
      </c>
    </row>
    <row r="1159" spans="57:59" x14ac:dyDescent="0.2">
      <c r="BE1159" s="19">
        <f t="shared" si="76"/>
        <v>0.96874999999999722</v>
      </c>
      <c r="BF1159" t="e">
        <f t="shared" ca="1" si="74"/>
        <v>#VALUE!</v>
      </c>
      <c r="BG1159" t="e">
        <f t="shared" ca="1" si="75"/>
        <v>#VALUE!</v>
      </c>
    </row>
    <row r="1160" spans="57:59" x14ac:dyDescent="0.2">
      <c r="BE1160" s="19">
        <f t="shared" si="76"/>
        <v>0.96944444444444167</v>
      </c>
      <c r="BF1160" t="e">
        <f t="shared" ca="1" si="74"/>
        <v>#VALUE!</v>
      </c>
      <c r="BG1160" t="e">
        <f t="shared" ca="1" si="75"/>
        <v>#VALUE!</v>
      </c>
    </row>
    <row r="1161" spans="57:59" x14ac:dyDescent="0.2">
      <c r="BE1161" s="19">
        <f t="shared" si="76"/>
        <v>0.97013888888888611</v>
      </c>
      <c r="BF1161" t="e">
        <f t="shared" ca="1" si="74"/>
        <v>#VALUE!</v>
      </c>
      <c r="BG1161" t="e">
        <f t="shared" ca="1" si="75"/>
        <v>#VALUE!</v>
      </c>
    </row>
    <row r="1162" spans="57:59" x14ac:dyDescent="0.2">
      <c r="BE1162" s="19">
        <f t="shared" si="76"/>
        <v>0.97083333333333055</v>
      </c>
      <c r="BF1162" t="e">
        <f t="shared" ca="1" si="74"/>
        <v>#VALUE!</v>
      </c>
      <c r="BG1162" t="e">
        <f t="shared" ca="1" si="75"/>
        <v>#VALUE!</v>
      </c>
    </row>
    <row r="1163" spans="57:59" x14ac:dyDescent="0.2">
      <c r="BE1163" s="19">
        <f t="shared" si="76"/>
        <v>0.97152777777777499</v>
      </c>
      <c r="BF1163" t="e">
        <f t="shared" ca="1" si="74"/>
        <v>#VALUE!</v>
      </c>
      <c r="BG1163" t="e">
        <f t="shared" ca="1" si="75"/>
        <v>#VALUE!</v>
      </c>
    </row>
    <row r="1164" spans="57:59" x14ac:dyDescent="0.2">
      <c r="BE1164" s="19">
        <f t="shared" si="76"/>
        <v>0.97222222222221943</v>
      </c>
      <c r="BF1164" t="e">
        <f t="shared" ca="1" si="74"/>
        <v>#VALUE!</v>
      </c>
      <c r="BG1164" t="e">
        <f t="shared" ca="1" si="75"/>
        <v>#VALUE!</v>
      </c>
    </row>
    <row r="1165" spans="57:59" x14ac:dyDescent="0.2">
      <c r="BE1165" s="19">
        <f t="shared" si="76"/>
        <v>0.97291666666666388</v>
      </c>
      <c r="BF1165" t="e">
        <f t="shared" ca="1" si="74"/>
        <v>#VALUE!</v>
      </c>
      <c r="BG1165" t="e">
        <f t="shared" ca="1" si="75"/>
        <v>#VALUE!</v>
      </c>
    </row>
    <row r="1166" spans="57:59" x14ac:dyDescent="0.2">
      <c r="BE1166" s="19">
        <f t="shared" si="76"/>
        <v>0.97361111111110832</v>
      </c>
      <c r="BF1166" t="e">
        <f t="shared" ca="1" si="74"/>
        <v>#VALUE!</v>
      </c>
      <c r="BG1166" t="e">
        <f t="shared" ca="1" si="75"/>
        <v>#VALUE!</v>
      </c>
    </row>
    <row r="1167" spans="57:59" x14ac:dyDescent="0.2">
      <c r="BE1167" s="19">
        <f t="shared" si="76"/>
        <v>0.97430555555555276</v>
      </c>
      <c r="BF1167" t="e">
        <f t="shared" ca="1" si="74"/>
        <v>#VALUE!</v>
      </c>
      <c r="BG1167" t="e">
        <f t="shared" ca="1" si="75"/>
        <v>#VALUE!</v>
      </c>
    </row>
    <row r="1168" spans="57:59" x14ac:dyDescent="0.2">
      <c r="BE1168" s="19">
        <f t="shared" si="76"/>
        <v>0.9749999999999972</v>
      </c>
      <c r="BF1168" t="e">
        <f t="shared" ca="1" si="74"/>
        <v>#VALUE!</v>
      </c>
      <c r="BG1168" t="e">
        <f t="shared" ca="1" si="75"/>
        <v>#VALUE!</v>
      </c>
    </row>
    <row r="1169" spans="57:59" x14ac:dyDescent="0.2">
      <c r="BE1169" s="19">
        <f t="shared" si="76"/>
        <v>0.97569444444444164</v>
      </c>
      <c r="BF1169" t="e">
        <f t="shared" ca="1" si="74"/>
        <v>#VALUE!</v>
      </c>
      <c r="BG1169" t="e">
        <f t="shared" ca="1" si="75"/>
        <v>#VALUE!</v>
      </c>
    </row>
    <row r="1170" spans="57:59" x14ac:dyDescent="0.2">
      <c r="BE1170" s="19">
        <f t="shared" si="76"/>
        <v>0.97638888888888609</v>
      </c>
      <c r="BF1170" t="e">
        <f t="shared" ca="1" si="74"/>
        <v>#VALUE!</v>
      </c>
      <c r="BG1170" t="e">
        <f t="shared" ca="1" si="75"/>
        <v>#VALUE!</v>
      </c>
    </row>
    <row r="1171" spans="57:59" x14ac:dyDescent="0.2">
      <c r="BE1171" s="19">
        <f t="shared" si="76"/>
        <v>0.97708333333333053</v>
      </c>
      <c r="BF1171" t="e">
        <f t="shared" ca="1" si="74"/>
        <v>#VALUE!</v>
      </c>
      <c r="BG1171" t="e">
        <f t="shared" ca="1" si="75"/>
        <v>#VALUE!</v>
      </c>
    </row>
    <row r="1172" spans="57:59" x14ac:dyDescent="0.2">
      <c r="BE1172" s="19">
        <f t="shared" si="76"/>
        <v>0.97777777777777497</v>
      </c>
      <c r="BF1172" t="e">
        <f t="shared" ca="1" si="74"/>
        <v>#VALUE!</v>
      </c>
      <c r="BG1172" t="e">
        <f t="shared" ca="1" si="75"/>
        <v>#VALUE!</v>
      </c>
    </row>
    <row r="1173" spans="57:59" x14ac:dyDescent="0.2">
      <c r="BE1173" s="19">
        <f t="shared" si="76"/>
        <v>0.97847222222221941</v>
      </c>
      <c r="BF1173" t="e">
        <f t="shared" ca="1" si="74"/>
        <v>#VALUE!</v>
      </c>
      <c r="BG1173" t="e">
        <f t="shared" ca="1" si="75"/>
        <v>#VALUE!</v>
      </c>
    </row>
    <row r="1174" spans="57:59" x14ac:dyDescent="0.2">
      <c r="BE1174" s="19">
        <f t="shared" si="76"/>
        <v>0.97916666666666385</v>
      </c>
      <c r="BF1174" t="e">
        <f t="shared" ca="1" si="74"/>
        <v>#VALUE!</v>
      </c>
      <c r="BG1174" t="e">
        <f t="shared" ca="1" si="75"/>
        <v>#VALUE!</v>
      </c>
    </row>
    <row r="1175" spans="57:59" x14ac:dyDescent="0.2">
      <c r="BE1175" s="19">
        <f t="shared" si="76"/>
        <v>0.9798611111111083</v>
      </c>
      <c r="BF1175" t="e">
        <f t="shared" ca="1" si="74"/>
        <v>#VALUE!</v>
      </c>
      <c r="BG1175" t="e">
        <f t="shared" ca="1" si="75"/>
        <v>#VALUE!</v>
      </c>
    </row>
    <row r="1176" spans="57:59" x14ac:dyDescent="0.2">
      <c r="BE1176" s="19">
        <f t="shared" si="76"/>
        <v>0.98055555555555274</v>
      </c>
      <c r="BF1176" t="e">
        <f t="shared" ca="1" si="74"/>
        <v>#VALUE!</v>
      </c>
      <c r="BG1176" t="e">
        <f t="shared" ca="1" si="75"/>
        <v>#VALUE!</v>
      </c>
    </row>
    <row r="1177" spans="57:59" x14ac:dyDescent="0.2">
      <c r="BE1177" s="19">
        <f t="shared" si="76"/>
        <v>0.98124999999999718</v>
      </c>
      <c r="BF1177" t="e">
        <f t="shared" ca="1" si="74"/>
        <v>#VALUE!</v>
      </c>
      <c r="BG1177" t="e">
        <f t="shared" ca="1" si="75"/>
        <v>#VALUE!</v>
      </c>
    </row>
    <row r="1178" spans="57:59" x14ac:dyDescent="0.2">
      <c r="BE1178" s="19">
        <f t="shared" si="76"/>
        <v>0.98194444444444162</v>
      </c>
      <c r="BF1178" t="e">
        <f t="shared" ca="1" si="74"/>
        <v>#VALUE!</v>
      </c>
      <c r="BG1178" t="e">
        <f t="shared" ca="1" si="75"/>
        <v>#VALUE!</v>
      </c>
    </row>
    <row r="1179" spans="57:59" x14ac:dyDescent="0.2">
      <c r="BE1179" s="19">
        <f t="shared" si="76"/>
        <v>0.98263888888888606</v>
      </c>
      <c r="BF1179" t="e">
        <f t="shared" ca="1" si="74"/>
        <v>#VALUE!</v>
      </c>
      <c r="BG1179" t="e">
        <f t="shared" ca="1" si="75"/>
        <v>#VALUE!</v>
      </c>
    </row>
    <row r="1180" spans="57:59" x14ac:dyDescent="0.2">
      <c r="BE1180" s="19">
        <f t="shared" si="76"/>
        <v>0.98333333333333051</v>
      </c>
      <c r="BF1180" t="e">
        <f t="shared" ca="1" si="74"/>
        <v>#VALUE!</v>
      </c>
      <c r="BG1180" t="e">
        <f t="shared" ca="1" si="75"/>
        <v>#VALUE!</v>
      </c>
    </row>
    <row r="1181" spans="57:59" x14ac:dyDescent="0.2">
      <c r="BE1181" s="19">
        <f t="shared" si="76"/>
        <v>0.98402777777777495</v>
      </c>
      <c r="BF1181" t="e">
        <f t="shared" ca="1" si="74"/>
        <v>#VALUE!</v>
      </c>
      <c r="BG1181" t="e">
        <f t="shared" ca="1" si="75"/>
        <v>#VALUE!</v>
      </c>
    </row>
    <row r="1182" spans="57:59" x14ac:dyDescent="0.2">
      <c r="BE1182" s="19">
        <f t="shared" si="76"/>
        <v>0.98472222222221939</v>
      </c>
      <c r="BF1182" t="e">
        <f t="shared" ca="1" si="74"/>
        <v>#VALUE!</v>
      </c>
      <c r="BG1182" t="e">
        <f t="shared" ca="1" si="75"/>
        <v>#VALUE!</v>
      </c>
    </row>
    <row r="1183" spans="57:59" x14ac:dyDescent="0.2">
      <c r="BE1183" s="19">
        <f t="shared" si="76"/>
        <v>0.98541666666666383</v>
      </c>
      <c r="BF1183" t="e">
        <f t="shared" ca="1" si="74"/>
        <v>#VALUE!</v>
      </c>
      <c r="BG1183" t="e">
        <f t="shared" ca="1" si="75"/>
        <v>#VALUE!</v>
      </c>
    </row>
    <row r="1184" spans="57:59" x14ac:dyDescent="0.2">
      <c r="BE1184" s="19">
        <f t="shared" si="76"/>
        <v>0.98611111111110827</v>
      </c>
      <c r="BF1184" t="e">
        <f t="shared" ca="1" si="74"/>
        <v>#VALUE!</v>
      </c>
      <c r="BG1184" t="e">
        <f t="shared" ca="1" si="75"/>
        <v>#VALUE!</v>
      </c>
    </row>
    <row r="1185" spans="57:59" x14ac:dyDescent="0.2">
      <c r="BE1185" s="19">
        <f t="shared" si="76"/>
        <v>0.98680555555555272</v>
      </c>
      <c r="BF1185" t="e">
        <f t="shared" ca="1" si="74"/>
        <v>#VALUE!</v>
      </c>
      <c r="BG1185" t="e">
        <f t="shared" ca="1" si="75"/>
        <v>#VALUE!</v>
      </c>
    </row>
    <row r="1186" spans="57:59" x14ac:dyDescent="0.2">
      <c r="BE1186" s="19">
        <f t="shared" si="76"/>
        <v>0.98749999999999716</v>
      </c>
      <c r="BF1186" t="e">
        <f t="shared" ca="1" si="74"/>
        <v>#VALUE!</v>
      </c>
      <c r="BG1186" t="e">
        <f t="shared" ca="1" si="75"/>
        <v>#VALUE!</v>
      </c>
    </row>
    <row r="1187" spans="57:59" x14ac:dyDescent="0.2">
      <c r="BE1187" s="19">
        <f t="shared" si="76"/>
        <v>0.9881944444444416</v>
      </c>
      <c r="BF1187" t="e">
        <f t="shared" ca="1" si="74"/>
        <v>#VALUE!</v>
      </c>
      <c r="BG1187" t="e">
        <f t="shared" ca="1" si="75"/>
        <v>#VALUE!</v>
      </c>
    </row>
    <row r="1188" spans="57:59" x14ac:dyDescent="0.2">
      <c r="BE1188" s="19">
        <f t="shared" si="76"/>
        <v>0.98888888888888604</v>
      </c>
      <c r="BF1188" t="e">
        <f t="shared" ca="1" si="74"/>
        <v>#VALUE!</v>
      </c>
      <c r="BG1188" t="e">
        <f t="shared" ca="1" si="75"/>
        <v>#VALUE!</v>
      </c>
    </row>
    <row r="1189" spans="57:59" x14ac:dyDescent="0.2">
      <c r="BE1189" s="19">
        <f t="shared" si="76"/>
        <v>0.98958333333333048</v>
      </c>
      <c r="BF1189" t="e">
        <f t="shared" ca="1" si="74"/>
        <v>#VALUE!</v>
      </c>
      <c r="BG1189" t="e">
        <f t="shared" ca="1" si="75"/>
        <v>#VALUE!</v>
      </c>
    </row>
    <row r="1190" spans="57:59" x14ac:dyDescent="0.2">
      <c r="BE1190" s="19">
        <f t="shared" si="76"/>
        <v>0.99027777777777493</v>
      </c>
      <c r="BF1190" t="e">
        <f t="shared" ca="1" si="74"/>
        <v>#VALUE!</v>
      </c>
      <c r="BG1190" t="e">
        <f t="shared" ca="1" si="75"/>
        <v>#VALUE!</v>
      </c>
    </row>
    <row r="1191" spans="57:59" x14ac:dyDescent="0.2">
      <c r="BE1191" s="19">
        <f t="shared" si="76"/>
        <v>0.99097222222221937</v>
      </c>
      <c r="BF1191" t="e">
        <f t="shared" ca="1" si="74"/>
        <v>#VALUE!</v>
      </c>
      <c r="BG1191" t="e">
        <f t="shared" ca="1" si="75"/>
        <v>#VALUE!</v>
      </c>
    </row>
    <row r="1192" spans="57:59" x14ac:dyDescent="0.2">
      <c r="BE1192" s="19">
        <f t="shared" si="76"/>
        <v>0.99166666666666381</v>
      </c>
      <c r="BF1192" t="e">
        <f t="shared" ca="1" si="74"/>
        <v>#VALUE!</v>
      </c>
      <c r="BG1192" t="e">
        <f t="shared" ca="1" si="75"/>
        <v>#VALUE!</v>
      </c>
    </row>
    <row r="1193" spans="57:59" x14ac:dyDescent="0.2">
      <c r="BE1193" s="19">
        <f t="shared" si="76"/>
        <v>0.99236111111110825</v>
      </c>
      <c r="BF1193" t="e">
        <f t="shared" ca="1" si="74"/>
        <v>#VALUE!</v>
      </c>
      <c r="BG1193" t="e">
        <f t="shared" ca="1" si="75"/>
        <v>#VALUE!</v>
      </c>
    </row>
    <row r="1194" spans="57:59" x14ac:dyDescent="0.2">
      <c r="BE1194" s="19">
        <f t="shared" si="76"/>
        <v>0.99305555555555269</v>
      </c>
      <c r="BF1194" t="e">
        <f t="shared" ca="1" si="74"/>
        <v>#VALUE!</v>
      </c>
      <c r="BG1194" t="e">
        <f t="shared" ca="1" si="75"/>
        <v>#VALUE!</v>
      </c>
    </row>
    <row r="1195" spans="57:59" x14ac:dyDescent="0.2">
      <c r="BE1195" s="19">
        <f t="shared" si="76"/>
        <v>0.99374999999999714</v>
      </c>
      <c r="BF1195" t="e">
        <f t="shared" ca="1" si="74"/>
        <v>#VALUE!</v>
      </c>
      <c r="BG1195" t="e">
        <f t="shared" ca="1" si="75"/>
        <v>#VALUE!</v>
      </c>
    </row>
    <row r="1196" spans="57:59" x14ac:dyDescent="0.2">
      <c r="BE1196" s="19">
        <f t="shared" si="76"/>
        <v>0.99444444444444158</v>
      </c>
      <c r="BF1196" t="e">
        <f t="shared" ca="1" si="74"/>
        <v>#VALUE!</v>
      </c>
      <c r="BG1196" t="e">
        <f t="shared" ca="1" si="75"/>
        <v>#VALUE!</v>
      </c>
    </row>
    <row r="1197" spans="57:59" x14ac:dyDescent="0.2">
      <c r="BE1197" s="19">
        <f t="shared" si="76"/>
        <v>0.99513888888888602</v>
      </c>
      <c r="BF1197" t="e">
        <f t="shared" ca="1" si="74"/>
        <v>#VALUE!</v>
      </c>
      <c r="BG1197" t="e">
        <f t="shared" ca="1" si="75"/>
        <v>#VALUE!</v>
      </c>
    </row>
    <row r="1198" spans="57:59" x14ac:dyDescent="0.2">
      <c r="BE1198" s="19">
        <f t="shared" si="76"/>
        <v>0.99583333333333046</v>
      </c>
      <c r="BF1198" t="e">
        <f t="shared" ca="1" si="74"/>
        <v>#VALUE!</v>
      </c>
      <c r="BG1198" t="e">
        <f t="shared" ca="1" si="75"/>
        <v>#VALUE!</v>
      </c>
    </row>
    <row r="1199" spans="57:59" x14ac:dyDescent="0.2">
      <c r="BE1199" s="19">
        <f t="shared" si="76"/>
        <v>0.9965277777777749</v>
      </c>
      <c r="BF1199" t="e">
        <f t="shared" ca="1" si="74"/>
        <v>#VALUE!</v>
      </c>
      <c r="BG1199" t="e">
        <f t="shared" ca="1" si="75"/>
        <v>#VALUE!</v>
      </c>
    </row>
    <row r="1200" spans="57:59" x14ac:dyDescent="0.2">
      <c r="BE1200" s="19">
        <f t="shared" si="76"/>
        <v>0.99722222222221935</v>
      </c>
      <c r="BF1200" t="e">
        <f t="shared" ca="1" si="74"/>
        <v>#VALUE!</v>
      </c>
      <c r="BG1200" t="e">
        <f t="shared" ca="1" si="75"/>
        <v>#VALUE!</v>
      </c>
    </row>
    <row r="1201" spans="57:59" x14ac:dyDescent="0.2">
      <c r="BE1201" s="19">
        <f t="shared" si="76"/>
        <v>0.99791666666666379</v>
      </c>
      <c r="BF1201" t="e">
        <f t="shared" ca="1" si="74"/>
        <v>#VALUE!</v>
      </c>
      <c r="BG1201" t="e">
        <f t="shared" ca="1" si="75"/>
        <v>#VALUE!</v>
      </c>
    </row>
    <row r="1202" spans="57:59" x14ac:dyDescent="0.2">
      <c r="BE1202" s="19">
        <f t="shared" si="76"/>
        <v>0.99861111111110823</v>
      </c>
      <c r="BF1202" t="e">
        <f t="shared" ca="1" si="74"/>
        <v>#VALUE!</v>
      </c>
      <c r="BG1202" t="e">
        <f t="shared" ca="1" si="75"/>
        <v>#VALUE!</v>
      </c>
    </row>
    <row r="1203" spans="57:59" x14ac:dyDescent="0.2">
      <c r="BE1203" s="19">
        <f t="shared" si="76"/>
        <v>0.99930555555555267</v>
      </c>
      <c r="BF1203" t="e">
        <f t="shared" ca="1" si="74"/>
        <v>#VALUE!</v>
      </c>
      <c r="BG1203" t="e">
        <f t="shared" ca="1" si="75"/>
        <v>#VALUE!</v>
      </c>
    </row>
    <row r="1204" spans="57:59" x14ac:dyDescent="0.2">
      <c r="BE1204" s="19">
        <f t="shared" si="76"/>
        <v>0.99999999999999711</v>
      </c>
      <c r="BF1204" t="e">
        <f t="shared" ca="1" si="74"/>
        <v>#VALUE!</v>
      </c>
      <c r="BG1204" t="e">
        <f t="shared" ca="1" si="75"/>
        <v>#VALUE!</v>
      </c>
    </row>
    <row r="1205" spans="57:59" x14ac:dyDescent="0.2">
      <c r="BE1205" s="19">
        <f t="shared" si="76"/>
        <v>1.0006944444444417</v>
      </c>
      <c r="BF1205" t="e">
        <f t="shared" ca="1" si="74"/>
        <v>#VALUE!</v>
      </c>
      <c r="BG1205" t="e">
        <f t="shared" ca="1" si="75"/>
        <v>#VALUE!</v>
      </c>
    </row>
    <row r="1206" spans="57:59" x14ac:dyDescent="0.2">
      <c r="BE1206" s="19">
        <f t="shared" si="76"/>
        <v>1.0013888888888862</v>
      </c>
      <c r="BF1206" t="e">
        <f t="shared" ca="1" si="74"/>
        <v>#VALUE!</v>
      </c>
      <c r="BG1206" t="e">
        <f t="shared" ca="1" si="75"/>
        <v>#VALUE!</v>
      </c>
    </row>
    <row r="1207" spans="57:59" x14ac:dyDescent="0.2">
      <c r="BE1207" s="19">
        <f t="shared" si="76"/>
        <v>1.0020833333333308</v>
      </c>
      <c r="BF1207" t="e">
        <f t="shared" ca="1" si="74"/>
        <v>#VALUE!</v>
      </c>
      <c r="BG1207" t="e">
        <f t="shared" ca="1" si="75"/>
        <v>#VALUE!</v>
      </c>
    </row>
    <row r="1208" spans="57:59" x14ac:dyDescent="0.2">
      <c r="BE1208" s="19">
        <f t="shared" si="76"/>
        <v>1.0027777777777753</v>
      </c>
      <c r="BF1208" t="e">
        <f t="shared" ca="1" si="74"/>
        <v>#VALUE!</v>
      </c>
      <c r="BG1208" t="e">
        <f t="shared" ca="1" si="75"/>
        <v>#VALUE!</v>
      </c>
    </row>
    <row r="1209" spans="57:59" x14ac:dyDescent="0.2">
      <c r="BE1209" s="19">
        <f t="shared" si="76"/>
        <v>1.0034722222222199</v>
      </c>
      <c r="BF1209" t="e">
        <f t="shared" ca="1" si="74"/>
        <v>#VALUE!</v>
      </c>
      <c r="BG1209" t="e">
        <f t="shared" ca="1" si="75"/>
        <v>#VALUE!</v>
      </c>
    </row>
    <row r="1210" spans="57:59" x14ac:dyDescent="0.2">
      <c r="BE1210" s="19">
        <f t="shared" si="76"/>
        <v>1.0041666666666644</v>
      </c>
      <c r="BF1210" t="e">
        <f t="shared" ca="1" si="74"/>
        <v>#VALUE!</v>
      </c>
      <c r="BG1210" t="e">
        <f t="shared" ca="1" si="75"/>
        <v>#VALUE!</v>
      </c>
    </row>
    <row r="1211" spans="57:59" x14ac:dyDescent="0.2">
      <c r="BE1211" s="19">
        <f t="shared" si="76"/>
        <v>1.004861111111109</v>
      </c>
      <c r="BF1211" t="e">
        <f t="shared" ca="1" si="74"/>
        <v>#VALUE!</v>
      </c>
      <c r="BG1211" t="e">
        <f t="shared" ca="1" si="75"/>
        <v>#VALUE!</v>
      </c>
    </row>
    <row r="1212" spans="57:59" x14ac:dyDescent="0.2">
      <c r="BE1212" s="19">
        <f t="shared" si="76"/>
        <v>1.0055555555555535</v>
      </c>
      <c r="BF1212" t="e">
        <f t="shared" ca="1" si="74"/>
        <v>#VALUE!</v>
      </c>
      <c r="BG1212" t="e">
        <f t="shared" ca="1" si="75"/>
        <v>#VALUE!</v>
      </c>
    </row>
    <row r="1213" spans="57:59" x14ac:dyDescent="0.2">
      <c r="BE1213" s="19">
        <f t="shared" si="76"/>
        <v>1.0062499999999981</v>
      </c>
      <c r="BF1213" t="e">
        <f t="shared" ca="1" si="74"/>
        <v>#VALUE!</v>
      </c>
      <c r="BG1213" t="e">
        <f t="shared" ca="1" si="75"/>
        <v>#VALUE!</v>
      </c>
    </row>
    <row r="1214" spans="57:59" x14ac:dyDescent="0.2">
      <c r="BE1214" s="19">
        <f t="shared" si="76"/>
        <v>1.0069444444444426</v>
      </c>
      <c r="BF1214" t="e">
        <f t="shared" ca="1" si="74"/>
        <v>#VALUE!</v>
      </c>
      <c r="BG1214" t="e">
        <f t="shared" ca="1" si="75"/>
        <v>#VALUE!</v>
      </c>
    </row>
    <row r="1215" spans="57:59" x14ac:dyDescent="0.2">
      <c r="BE1215" s="19">
        <f t="shared" si="76"/>
        <v>1.0076388888888872</v>
      </c>
      <c r="BF1215" t="e">
        <f t="shared" ca="1" si="74"/>
        <v>#VALUE!</v>
      </c>
      <c r="BG1215" t="e">
        <f t="shared" ca="1" si="75"/>
        <v>#VALUE!</v>
      </c>
    </row>
    <row r="1216" spans="57:59" x14ac:dyDescent="0.2">
      <c r="BE1216" s="19">
        <f t="shared" si="76"/>
        <v>1.0083333333333317</v>
      </c>
      <c r="BF1216" t="e">
        <f t="shared" ca="1" si="74"/>
        <v>#VALUE!</v>
      </c>
      <c r="BG1216" t="e">
        <f t="shared" ca="1" si="75"/>
        <v>#VALUE!</v>
      </c>
    </row>
    <row r="1217" spans="57:59" x14ac:dyDescent="0.2">
      <c r="BE1217" s="19">
        <f t="shared" si="76"/>
        <v>1.0090277777777763</v>
      </c>
      <c r="BF1217" t="e">
        <f t="shared" ca="1" si="74"/>
        <v>#VALUE!</v>
      </c>
      <c r="BG1217" t="e">
        <f t="shared" ca="1" si="75"/>
        <v>#VALUE!</v>
      </c>
    </row>
    <row r="1218" spans="57:59" x14ac:dyDescent="0.2">
      <c r="BE1218" s="19">
        <f t="shared" si="76"/>
        <v>1.0097222222222209</v>
      </c>
      <c r="BF1218" t="e">
        <f t="shared" ca="1" si="74"/>
        <v>#VALUE!</v>
      </c>
      <c r="BG1218" t="e">
        <f t="shared" ca="1" si="75"/>
        <v>#VALUE!</v>
      </c>
    </row>
    <row r="1219" spans="57:59" x14ac:dyDescent="0.2">
      <c r="BE1219" s="19">
        <f t="shared" si="76"/>
        <v>1.0104166666666654</v>
      </c>
      <c r="BF1219" t="e">
        <f t="shared" ca="1" si="74"/>
        <v>#VALUE!</v>
      </c>
      <c r="BG1219" t="e">
        <f t="shared" ca="1" si="75"/>
        <v>#VALUE!</v>
      </c>
    </row>
    <row r="1220" spans="57:59" x14ac:dyDescent="0.2">
      <c r="BE1220" s="19">
        <f t="shared" si="76"/>
        <v>1.01111111111111</v>
      </c>
      <c r="BF1220" t="e">
        <f t="shared" ref="BF1220:BF1283" ca="1" si="77">IF(BG1220=0,AVERAGE(OFFSET(BH1220,0,0,1,$A$1-1)),AVERAGE(BG1220,OFFSET(BH1220,0,0,1,$A$1-1)))</f>
        <v>#VALUE!</v>
      </c>
      <c r="BG1220" t="e">
        <f t="shared" ca="1" si="75"/>
        <v>#VALUE!</v>
      </c>
    </row>
    <row r="1221" spans="57:59" x14ac:dyDescent="0.2">
      <c r="BE1221" s="19">
        <f t="shared" si="76"/>
        <v>1.0118055555555545</v>
      </c>
      <c r="BF1221" t="e">
        <f t="shared" ca="1" si="77"/>
        <v>#VALUE!</v>
      </c>
      <c r="BG1221" t="e">
        <f t="shared" ref="BG1221:BG1284" ca="1" si="78">IF(BE1221&lt;$B$5-1/1440,0,OFFSET($AA$4,(BE1221-$B$4)*1440,0,1,1))</f>
        <v>#VALUE!</v>
      </c>
    </row>
    <row r="1222" spans="57:59" x14ac:dyDescent="0.2">
      <c r="BE1222" s="19">
        <f t="shared" ref="BE1222:BE1285" si="79">BE1221+1/1440</f>
        <v>1.0124999999999991</v>
      </c>
      <c r="BF1222" t="e">
        <f t="shared" ca="1" si="77"/>
        <v>#VALUE!</v>
      </c>
      <c r="BG1222" t="e">
        <f t="shared" ca="1" si="78"/>
        <v>#VALUE!</v>
      </c>
    </row>
    <row r="1223" spans="57:59" x14ac:dyDescent="0.2">
      <c r="BE1223" s="19">
        <f t="shared" si="79"/>
        <v>1.0131944444444436</v>
      </c>
      <c r="BF1223" t="e">
        <f t="shared" ca="1" si="77"/>
        <v>#VALUE!</v>
      </c>
      <c r="BG1223" t="e">
        <f t="shared" ca="1" si="78"/>
        <v>#VALUE!</v>
      </c>
    </row>
    <row r="1224" spans="57:59" x14ac:dyDescent="0.2">
      <c r="BE1224" s="19">
        <f t="shared" si="79"/>
        <v>1.0138888888888882</v>
      </c>
      <c r="BF1224" t="e">
        <f t="shared" ca="1" si="77"/>
        <v>#VALUE!</v>
      </c>
      <c r="BG1224" t="e">
        <f t="shared" ca="1" si="78"/>
        <v>#VALUE!</v>
      </c>
    </row>
    <row r="1225" spans="57:59" x14ac:dyDescent="0.2">
      <c r="BE1225" s="19">
        <f t="shared" si="79"/>
        <v>1.0145833333333327</v>
      </c>
      <c r="BF1225" t="e">
        <f t="shared" ca="1" si="77"/>
        <v>#VALUE!</v>
      </c>
      <c r="BG1225" t="e">
        <f t="shared" ca="1" si="78"/>
        <v>#VALUE!</v>
      </c>
    </row>
    <row r="1226" spans="57:59" x14ac:dyDescent="0.2">
      <c r="BE1226" s="19">
        <f t="shared" si="79"/>
        <v>1.0152777777777773</v>
      </c>
      <c r="BF1226" t="e">
        <f t="shared" ca="1" si="77"/>
        <v>#VALUE!</v>
      </c>
      <c r="BG1226" t="e">
        <f t="shared" ca="1" si="78"/>
        <v>#VALUE!</v>
      </c>
    </row>
    <row r="1227" spans="57:59" x14ac:dyDescent="0.2">
      <c r="BE1227" s="19">
        <f t="shared" si="79"/>
        <v>1.0159722222222218</v>
      </c>
      <c r="BF1227" t="e">
        <f t="shared" ca="1" si="77"/>
        <v>#VALUE!</v>
      </c>
      <c r="BG1227" t="e">
        <f t="shared" ca="1" si="78"/>
        <v>#VALUE!</v>
      </c>
    </row>
    <row r="1228" spans="57:59" x14ac:dyDescent="0.2">
      <c r="BE1228" s="19">
        <f t="shared" si="79"/>
        <v>1.0166666666666664</v>
      </c>
      <c r="BF1228" t="e">
        <f t="shared" ca="1" si="77"/>
        <v>#VALUE!</v>
      </c>
      <c r="BG1228" t="e">
        <f t="shared" ca="1" si="78"/>
        <v>#VALUE!</v>
      </c>
    </row>
    <row r="1229" spans="57:59" x14ac:dyDescent="0.2">
      <c r="BE1229" s="19">
        <f t="shared" si="79"/>
        <v>1.0173611111111109</v>
      </c>
      <c r="BF1229" t="e">
        <f t="shared" ca="1" si="77"/>
        <v>#VALUE!</v>
      </c>
      <c r="BG1229" t="e">
        <f t="shared" ca="1" si="78"/>
        <v>#VALUE!</v>
      </c>
    </row>
    <row r="1230" spans="57:59" x14ac:dyDescent="0.2">
      <c r="BE1230" s="19">
        <f t="shared" si="79"/>
        <v>1.0180555555555555</v>
      </c>
      <c r="BF1230" t="e">
        <f t="shared" ca="1" si="77"/>
        <v>#VALUE!</v>
      </c>
      <c r="BG1230" t="e">
        <f t="shared" ca="1" si="78"/>
        <v>#VALUE!</v>
      </c>
    </row>
    <row r="1231" spans="57:59" x14ac:dyDescent="0.2">
      <c r="BE1231" s="19">
        <f t="shared" si="79"/>
        <v>1.01875</v>
      </c>
      <c r="BF1231" t="e">
        <f t="shared" ca="1" si="77"/>
        <v>#VALUE!</v>
      </c>
      <c r="BG1231" t="e">
        <f t="shared" ca="1" si="78"/>
        <v>#VALUE!</v>
      </c>
    </row>
    <row r="1232" spans="57:59" x14ac:dyDescent="0.2">
      <c r="BE1232" s="19">
        <f t="shared" si="79"/>
        <v>1.0194444444444446</v>
      </c>
      <c r="BF1232" t="e">
        <f t="shared" ca="1" si="77"/>
        <v>#VALUE!</v>
      </c>
      <c r="BG1232" t="e">
        <f t="shared" ca="1" si="78"/>
        <v>#VALUE!</v>
      </c>
    </row>
    <row r="1233" spans="57:59" x14ac:dyDescent="0.2">
      <c r="BE1233" s="19">
        <f t="shared" si="79"/>
        <v>1.0201388888888892</v>
      </c>
      <c r="BF1233" t="e">
        <f t="shared" ca="1" si="77"/>
        <v>#VALUE!</v>
      </c>
      <c r="BG1233" t="e">
        <f t="shared" ca="1" si="78"/>
        <v>#VALUE!</v>
      </c>
    </row>
    <row r="1234" spans="57:59" x14ac:dyDescent="0.2">
      <c r="BE1234" s="19">
        <f t="shared" si="79"/>
        <v>1.0208333333333337</v>
      </c>
      <c r="BF1234" t="e">
        <f t="shared" ca="1" si="77"/>
        <v>#VALUE!</v>
      </c>
      <c r="BG1234" t="e">
        <f t="shared" ca="1" si="78"/>
        <v>#VALUE!</v>
      </c>
    </row>
    <row r="1235" spans="57:59" x14ac:dyDescent="0.2">
      <c r="BE1235" s="19">
        <f t="shared" si="79"/>
        <v>1.0215277777777783</v>
      </c>
      <c r="BF1235" t="e">
        <f t="shared" ca="1" si="77"/>
        <v>#VALUE!</v>
      </c>
      <c r="BG1235" t="e">
        <f t="shared" ca="1" si="78"/>
        <v>#VALUE!</v>
      </c>
    </row>
    <row r="1236" spans="57:59" x14ac:dyDescent="0.2">
      <c r="BE1236" s="19">
        <f t="shared" si="79"/>
        <v>1.0222222222222228</v>
      </c>
      <c r="BF1236" t="e">
        <f t="shared" ca="1" si="77"/>
        <v>#VALUE!</v>
      </c>
      <c r="BG1236" t="e">
        <f t="shared" ca="1" si="78"/>
        <v>#VALUE!</v>
      </c>
    </row>
    <row r="1237" spans="57:59" x14ac:dyDescent="0.2">
      <c r="BE1237" s="19">
        <f t="shared" si="79"/>
        <v>1.0229166666666674</v>
      </c>
      <c r="BF1237" t="e">
        <f t="shared" ca="1" si="77"/>
        <v>#VALUE!</v>
      </c>
      <c r="BG1237" t="e">
        <f t="shared" ca="1" si="78"/>
        <v>#VALUE!</v>
      </c>
    </row>
    <row r="1238" spans="57:59" x14ac:dyDescent="0.2">
      <c r="BE1238" s="19">
        <f t="shared" si="79"/>
        <v>1.0236111111111119</v>
      </c>
      <c r="BF1238" t="e">
        <f t="shared" ca="1" si="77"/>
        <v>#VALUE!</v>
      </c>
      <c r="BG1238" t="e">
        <f t="shared" ca="1" si="78"/>
        <v>#VALUE!</v>
      </c>
    </row>
    <row r="1239" spans="57:59" x14ac:dyDescent="0.2">
      <c r="BE1239" s="19">
        <f t="shared" si="79"/>
        <v>1.0243055555555565</v>
      </c>
      <c r="BF1239" t="e">
        <f t="shared" ca="1" si="77"/>
        <v>#VALUE!</v>
      </c>
      <c r="BG1239" t="e">
        <f t="shared" ca="1" si="78"/>
        <v>#VALUE!</v>
      </c>
    </row>
    <row r="1240" spans="57:59" x14ac:dyDescent="0.2">
      <c r="BE1240" s="19">
        <f t="shared" si="79"/>
        <v>1.025000000000001</v>
      </c>
      <c r="BF1240" t="e">
        <f t="shared" ca="1" si="77"/>
        <v>#VALUE!</v>
      </c>
      <c r="BG1240" t="e">
        <f t="shared" ca="1" si="78"/>
        <v>#VALUE!</v>
      </c>
    </row>
    <row r="1241" spans="57:59" x14ac:dyDescent="0.2">
      <c r="BE1241" s="19">
        <f t="shared" si="79"/>
        <v>1.0256944444444456</v>
      </c>
      <c r="BF1241" t="e">
        <f t="shared" ca="1" si="77"/>
        <v>#VALUE!</v>
      </c>
      <c r="BG1241" t="e">
        <f t="shared" ca="1" si="78"/>
        <v>#VALUE!</v>
      </c>
    </row>
    <row r="1242" spans="57:59" x14ac:dyDescent="0.2">
      <c r="BE1242" s="19">
        <f t="shared" si="79"/>
        <v>1.0263888888888901</v>
      </c>
      <c r="BF1242" t="e">
        <f t="shared" ca="1" si="77"/>
        <v>#VALUE!</v>
      </c>
      <c r="BG1242" t="e">
        <f t="shared" ca="1" si="78"/>
        <v>#VALUE!</v>
      </c>
    </row>
    <row r="1243" spans="57:59" x14ac:dyDescent="0.2">
      <c r="BE1243" s="19">
        <f t="shared" si="79"/>
        <v>1.0270833333333347</v>
      </c>
      <c r="BF1243" t="e">
        <f t="shared" ca="1" si="77"/>
        <v>#VALUE!</v>
      </c>
      <c r="BG1243" t="e">
        <f t="shared" ca="1" si="78"/>
        <v>#VALUE!</v>
      </c>
    </row>
    <row r="1244" spans="57:59" x14ac:dyDescent="0.2">
      <c r="BE1244" s="19">
        <f t="shared" si="79"/>
        <v>1.0277777777777792</v>
      </c>
      <c r="BF1244" t="e">
        <f t="shared" ca="1" si="77"/>
        <v>#VALUE!</v>
      </c>
      <c r="BG1244" t="e">
        <f t="shared" ca="1" si="78"/>
        <v>#VALUE!</v>
      </c>
    </row>
    <row r="1245" spans="57:59" x14ac:dyDescent="0.2">
      <c r="BE1245" s="19">
        <f t="shared" si="79"/>
        <v>1.0284722222222238</v>
      </c>
      <c r="BF1245" t="e">
        <f t="shared" ca="1" si="77"/>
        <v>#VALUE!</v>
      </c>
      <c r="BG1245" t="e">
        <f t="shared" ca="1" si="78"/>
        <v>#VALUE!</v>
      </c>
    </row>
    <row r="1246" spans="57:59" x14ac:dyDescent="0.2">
      <c r="BE1246" s="19">
        <f t="shared" si="79"/>
        <v>1.0291666666666683</v>
      </c>
      <c r="BF1246" t="e">
        <f t="shared" ca="1" si="77"/>
        <v>#VALUE!</v>
      </c>
      <c r="BG1246" t="e">
        <f t="shared" ca="1" si="78"/>
        <v>#VALUE!</v>
      </c>
    </row>
    <row r="1247" spans="57:59" x14ac:dyDescent="0.2">
      <c r="BE1247" s="19">
        <f t="shared" si="79"/>
        <v>1.0298611111111129</v>
      </c>
      <c r="BF1247" t="e">
        <f t="shared" ca="1" si="77"/>
        <v>#VALUE!</v>
      </c>
      <c r="BG1247" t="e">
        <f t="shared" ca="1" si="78"/>
        <v>#VALUE!</v>
      </c>
    </row>
    <row r="1248" spans="57:59" x14ac:dyDescent="0.2">
      <c r="BE1248" s="19">
        <f t="shared" si="79"/>
        <v>1.0305555555555574</v>
      </c>
      <c r="BF1248" t="e">
        <f t="shared" ca="1" si="77"/>
        <v>#VALUE!</v>
      </c>
      <c r="BG1248" t="e">
        <f t="shared" ca="1" si="78"/>
        <v>#VALUE!</v>
      </c>
    </row>
    <row r="1249" spans="57:59" x14ac:dyDescent="0.2">
      <c r="BE1249" s="19">
        <f t="shared" si="79"/>
        <v>1.031250000000002</v>
      </c>
      <c r="BF1249" t="e">
        <f t="shared" ca="1" si="77"/>
        <v>#VALUE!</v>
      </c>
      <c r="BG1249" t="e">
        <f t="shared" ca="1" si="78"/>
        <v>#VALUE!</v>
      </c>
    </row>
    <row r="1250" spans="57:59" x14ac:dyDescent="0.2">
      <c r="BE1250" s="19">
        <f t="shared" si="79"/>
        <v>1.0319444444444466</v>
      </c>
      <c r="BF1250" t="e">
        <f t="shared" ca="1" si="77"/>
        <v>#VALUE!</v>
      </c>
      <c r="BG1250" t="e">
        <f t="shared" ca="1" si="78"/>
        <v>#VALUE!</v>
      </c>
    </row>
    <row r="1251" spans="57:59" x14ac:dyDescent="0.2">
      <c r="BE1251" s="19">
        <f t="shared" si="79"/>
        <v>1.0326388888888911</v>
      </c>
      <c r="BF1251" t="e">
        <f t="shared" ca="1" si="77"/>
        <v>#VALUE!</v>
      </c>
      <c r="BG1251" t="e">
        <f t="shared" ca="1" si="78"/>
        <v>#VALUE!</v>
      </c>
    </row>
    <row r="1252" spans="57:59" x14ac:dyDescent="0.2">
      <c r="BE1252" s="19">
        <f t="shared" si="79"/>
        <v>1.0333333333333357</v>
      </c>
      <c r="BF1252" t="e">
        <f t="shared" ca="1" si="77"/>
        <v>#VALUE!</v>
      </c>
      <c r="BG1252" t="e">
        <f t="shared" ca="1" si="78"/>
        <v>#VALUE!</v>
      </c>
    </row>
    <row r="1253" spans="57:59" x14ac:dyDescent="0.2">
      <c r="BE1253" s="19">
        <f t="shared" si="79"/>
        <v>1.0340277777777802</v>
      </c>
      <c r="BF1253" t="e">
        <f t="shared" ca="1" si="77"/>
        <v>#VALUE!</v>
      </c>
      <c r="BG1253" t="e">
        <f t="shared" ca="1" si="78"/>
        <v>#VALUE!</v>
      </c>
    </row>
    <row r="1254" spans="57:59" x14ac:dyDescent="0.2">
      <c r="BE1254" s="19">
        <f t="shared" si="79"/>
        <v>1.0347222222222248</v>
      </c>
      <c r="BF1254" t="e">
        <f t="shared" ca="1" si="77"/>
        <v>#VALUE!</v>
      </c>
      <c r="BG1254" t="e">
        <f t="shared" ca="1" si="78"/>
        <v>#VALUE!</v>
      </c>
    </row>
    <row r="1255" spans="57:59" x14ac:dyDescent="0.2">
      <c r="BE1255" s="19">
        <f t="shared" si="79"/>
        <v>1.0354166666666693</v>
      </c>
      <c r="BF1255" t="e">
        <f t="shared" ca="1" si="77"/>
        <v>#VALUE!</v>
      </c>
      <c r="BG1255" t="e">
        <f t="shared" ca="1" si="78"/>
        <v>#VALUE!</v>
      </c>
    </row>
    <row r="1256" spans="57:59" x14ac:dyDescent="0.2">
      <c r="BE1256" s="19">
        <f t="shared" si="79"/>
        <v>1.0361111111111139</v>
      </c>
      <c r="BF1256" t="e">
        <f t="shared" ca="1" si="77"/>
        <v>#VALUE!</v>
      </c>
      <c r="BG1256" t="e">
        <f t="shared" ca="1" si="78"/>
        <v>#VALUE!</v>
      </c>
    </row>
    <row r="1257" spans="57:59" x14ac:dyDescent="0.2">
      <c r="BE1257" s="19">
        <f t="shared" si="79"/>
        <v>1.0368055555555584</v>
      </c>
      <c r="BF1257" t="e">
        <f t="shared" ca="1" si="77"/>
        <v>#VALUE!</v>
      </c>
      <c r="BG1257" t="e">
        <f t="shared" ca="1" si="78"/>
        <v>#VALUE!</v>
      </c>
    </row>
    <row r="1258" spans="57:59" x14ac:dyDescent="0.2">
      <c r="BE1258" s="19">
        <f t="shared" si="79"/>
        <v>1.037500000000003</v>
      </c>
      <c r="BF1258" t="e">
        <f t="shared" ca="1" si="77"/>
        <v>#VALUE!</v>
      </c>
      <c r="BG1258" t="e">
        <f t="shared" ca="1" si="78"/>
        <v>#VALUE!</v>
      </c>
    </row>
    <row r="1259" spans="57:59" x14ac:dyDescent="0.2">
      <c r="BE1259" s="19">
        <f t="shared" si="79"/>
        <v>1.0381944444444475</v>
      </c>
      <c r="BF1259" t="e">
        <f t="shared" ca="1" si="77"/>
        <v>#VALUE!</v>
      </c>
      <c r="BG1259" t="e">
        <f t="shared" ca="1" si="78"/>
        <v>#VALUE!</v>
      </c>
    </row>
    <row r="1260" spans="57:59" x14ac:dyDescent="0.2">
      <c r="BE1260" s="19">
        <f t="shared" si="79"/>
        <v>1.0388888888888921</v>
      </c>
      <c r="BF1260" t="e">
        <f t="shared" ca="1" si="77"/>
        <v>#VALUE!</v>
      </c>
      <c r="BG1260" t="e">
        <f t="shared" ca="1" si="78"/>
        <v>#VALUE!</v>
      </c>
    </row>
    <row r="1261" spans="57:59" x14ac:dyDescent="0.2">
      <c r="BE1261" s="19">
        <f t="shared" si="79"/>
        <v>1.0395833333333366</v>
      </c>
      <c r="BF1261" t="e">
        <f t="shared" ca="1" si="77"/>
        <v>#VALUE!</v>
      </c>
      <c r="BG1261" t="e">
        <f t="shared" ca="1" si="78"/>
        <v>#VALUE!</v>
      </c>
    </row>
    <row r="1262" spans="57:59" x14ac:dyDescent="0.2">
      <c r="BE1262" s="19">
        <f t="shared" si="79"/>
        <v>1.0402777777777812</v>
      </c>
      <c r="BF1262" t="e">
        <f t="shared" ca="1" si="77"/>
        <v>#VALUE!</v>
      </c>
      <c r="BG1262" t="e">
        <f t="shared" ca="1" si="78"/>
        <v>#VALUE!</v>
      </c>
    </row>
    <row r="1263" spans="57:59" x14ac:dyDescent="0.2">
      <c r="BE1263" s="19">
        <f t="shared" si="79"/>
        <v>1.0409722222222257</v>
      </c>
      <c r="BF1263" t="e">
        <f t="shared" ca="1" si="77"/>
        <v>#VALUE!</v>
      </c>
      <c r="BG1263" t="e">
        <f t="shared" ca="1" si="78"/>
        <v>#VALUE!</v>
      </c>
    </row>
    <row r="1264" spans="57:59" x14ac:dyDescent="0.2">
      <c r="BE1264" s="19">
        <f t="shared" si="79"/>
        <v>1.0416666666666703</v>
      </c>
      <c r="BF1264" t="e">
        <f t="shared" ca="1" si="77"/>
        <v>#VALUE!</v>
      </c>
      <c r="BG1264" t="e">
        <f t="shared" ca="1" si="78"/>
        <v>#VALUE!</v>
      </c>
    </row>
    <row r="1265" spans="57:59" x14ac:dyDescent="0.2">
      <c r="BE1265" s="19">
        <f t="shared" si="79"/>
        <v>1.0423611111111148</v>
      </c>
      <c r="BF1265" t="e">
        <f t="shared" ca="1" si="77"/>
        <v>#VALUE!</v>
      </c>
      <c r="BG1265" t="e">
        <f t="shared" ca="1" si="78"/>
        <v>#VALUE!</v>
      </c>
    </row>
    <row r="1266" spans="57:59" x14ac:dyDescent="0.2">
      <c r="BE1266" s="19">
        <f t="shared" si="79"/>
        <v>1.0430555555555594</v>
      </c>
      <c r="BF1266" t="e">
        <f t="shared" ca="1" si="77"/>
        <v>#VALUE!</v>
      </c>
      <c r="BG1266" t="e">
        <f t="shared" ca="1" si="78"/>
        <v>#VALUE!</v>
      </c>
    </row>
    <row r="1267" spans="57:59" x14ac:dyDescent="0.2">
      <c r="BE1267" s="19">
        <f t="shared" si="79"/>
        <v>1.043750000000004</v>
      </c>
      <c r="BF1267" t="e">
        <f t="shared" ca="1" si="77"/>
        <v>#VALUE!</v>
      </c>
      <c r="BG1267" t="e">
        <f t="shared" ca="1" si="78"/>
        <v>#VALUE!</v>
      </c>
    </row>
    <row r="1268" spans="57:59" x14ac:dyDescent="0.2">
      <c r="BE1268" s="19">
        <f t="shared" si="79"/>
        <v>1.0444444444444485</v>
      </c>
      <c r="BF1268" t="e">
        <f t="shared" ca="1" si="77"/>
        <v>#VALUE!</v>
      </c>
      <c r="BG1268" t="e">
        <f t="shared" ca="1" si="78"/>
        <v>#VALUE!</v>
      </c>
    </row>
    <row r="1269" spans="57:59" x14ac:dyDescent="0.2">
      <c r="BE1269" s="19">
        <f t="shared" si="79"/>
        <v>1.0451388888888931</v>
      </c>
      <c r="BF1269" t="e">
        <f t="shared" ca="1" si="77"/>
        <v>#VALUE!</v>
      </c>
      <c r="BG1269" t="e">
        <f t="shared" ca="1" si="78"/>
        <v>#VALUE!</v>
      </c>
    </row>
    <row r="1270" spans="57:59" x14ac:dyDescent="0.2">
      <c r="BE1270" s="19">
        <f t="shared" si="79"/>
        <v>1.0458333333333376</v>
      </c>
      <c r="BF1270" t="e">
        <f t="shared" ca="1" si="77"/>
        <v>#VALUE!</v>
      </c>
      <c r="BG1270" t="e">
        <f t="shared" ca="1" si="78"/>
        <v>#VALUE!</v>
      </c>
    </row>
    <row r="1271" spans="57:59" x14ac:dyDescent="0.2">
      <c r="BE1271" s="19">
        <f t="shared" si="79"/>
        <v>1.0465277777777822</v>
      </c>
      <c r="BF1271" t="e">
        <f t="shared" ca="1" si="77"/>
        <v>#VALUE!</v>
      </c>
      <c r="BG1271" t="e">
        <f t="shared" ca="1" si="78"/>
        <v>#VALUE!</v>
      </c>
    </row>
    <row r="1272" spans="57:59" x14ac:dyDescent="0.2">
      <c r="BE1272" s="19">
        <f t="shared" si="79"/>
        <v>1.0472222222222267</v>
      </c>
      <c r="BF1272" t="e">
        <f t="shared" ca="1" si="77"/>
        <v>#VALUE!</v>
      </c>
      <c r="BG1272" t="e">
        <f t="shared" ca="1" si="78"/>
        <v>#VALUE!</v>
      </c>
    </row>
    <row r="1273" spans="57:59" x14ac:dyDescent="0.2">
      <c r="BE1273" s="19">
        <f t="shared" si="79"/>
        <v>1.0479166666666713</v>
      </c>
      <c r="BF1273" t="e">
        <f t="shared" ca="1" si="77"/>
        <v>#VALUE!</v>
      </c>
      <c r="BG1273" t="e">
        <f t="shared" ca="1" si="78"/>
        <v>#VALUE!</v>
      </c>
    </row>
    <row r="1274" spans="57:59" x14ac:dyDescent="0.2">
      <c r="BE1274" s="19">
        <f t="shared" si="79"/>
        <v>1.0486111111111158</v>
      </c>
      <c r="BF1274" t="e">
        <f t="shared" ca="1" si="77"/>
        <v>#VALUE!</v>
      </c>
      <c r="BG1274" t="e">
        <f t="shared" ca="1" si="78"/>
        <v>#VALUE!</v>
      </c>
    </row>
    <row r="1275" spans="57:59" x14ac:dyDescent="0.2">
      <c r="BE1275" s="19">
        <f t="shared" si="79"/>
        <v>1.0493055555555604</v>
      </c>
      <c r="BF1275" t="e">
        <f t="shared" ca="1" si="77"/>
        <v>#VALUE!</v>
      </c>
      <c r="BG1275" t="e">
        <f t="shared" ca="1" si="78"/>
        <v>#VALUE!</v>
      </c>
    </row>
    <row r="1276" spans="57:59" x14ac:dyDescent="0.2">
      <c r="BE1276" s="19">
        <f t="shared" si="79"/>
        <v>1.0500000000000049</v>
      </c>
      <c r="BF1276" t="e">
        <f t="shared" ca="1" si="77"/>
        <v>#VALUE!</v>
      </c>
      <c r="BG1276" t="e">
        <f t="shared" ca="1" si="78"/>
        <v>#VALUE!</v>
      </c>
    </row>
    <row r="1277" spans="57:59" x14ac:dyDescent="0.2">
      <c r="BE1277" s="19">
        <f t="shared" si="79"/>
        <v>1.0506944444444495</v>
      </c>
      <c r="BF1277" t="e">
        <f t="shared" ca="1" si="77"/>
        <v>#VALUE!</v>
      </c>
      <c r="BG1277" t="e">
        <f t="shared" ca="1" si="78"/>
        <v>#VALUE!</v>
      </c>
    </row>
    <row r="1278" spans="57:59" x14ac:dyDescent="0.2">
      <c r="BE1278" s="19">
        <f t="shared" si="79"/>
        <v>1.051388888888894</v>
      </c>
      <c r="BF1278" t="e">
        <f t="shared" ca="1" si="77"/>
        <v>#VALUE!</v>
      </c>
      <c r="BG1278" t="e">
        <f t="shared" ca="1" si="78"/>
        <v>#VALUE!</v>
      </c>
    </row>
    <row r="1279" spans="57:59" x14ac:dyDescent="0.2">
      <c r="BE1279" s="19">
        <f t="shared" si="79"/>
        <v>1.0520833333333386</v>
      </c>
      <c r="BF1279" t="e">
        <f t="shared" ca="1" si="77"/>
        <v>#VALUE!</v>
      </c>
      <c r="BG1279" t="e">
        <f t="shared" ca="1" si="78"/>
        <v>#VALUE!</v>
      </c>
    </row>
    <row r="1280" spans="57:59" x14ac:dyDescent="0.2">
      <c r="BE1280" s="19">
        <f t="shared" si="79"/>
        <v>1.0527777777777831</v>
      </c>
      <c r="BF1280" t="e">
        <f t="shared" ca="1" si="77"/>
        <v>#VALUE!</v>
      </c>
      <c r="BG1280" t="e">
        <f t="shared" ca="1" si="78"/>
        <v>#VALUE!</v>
      </c>
    </row>
    <row r="1281" spans="57:59" x14ac:dyDescent="0.2">
      <c r="BE1281" s="19">
        <f t="shared" si="79"/>
        <v>1.0534722222222277</v>
      </c>
      <c r="BF1281" t="e">
        <f t="shared" ca="1" si="77"/>
        <v>#VALUE!</v>
      </c>
      <c r="BG1281" t="e">
        <f t="shared" ca="1" si="78"/>
        <v>#VALUE!</v>
      </c>
    </row>
    <row r="1282" spans="57:59" x14ac:dyDescent="0.2">
      <c r="BE1282" s="19">
        <f t="shared" si="79"/>
        <v>1.0541666666666722</v>
      </c>
      <c r="BF1282" t="e">
        <f t="shared" ca="1" si="77"/>
        <v>#VALUE!</v>
      </c>
      <c r="BG1282" t="e">
        <f t="shared" ca="1" si="78"/>
        <v>#VALUE!</v>
      </c>
    </row>
    <row r="1283" spans="57:59" x14ac:dyDescent="0.2">
      <c r="BE1283" s="19">
        <f t="shared" si="79"/>
        <v>1.0548611111111168</v>
      </c>
      <c r="BF1283" t="e">
        <f t="shared" ca="1" si="77"/>
        <v>#VALUE!</v>
      </c>
      <c r="BG1283" t="e">
        <f t="shared" ca="1" si="78"/>
        <v>#VALUE!</v>
      </c>
    </row>
    <row r="1284" spans="57:59" x14ac:dyDescent="0.2">
      <c r="BE1284" s="19">
        <f t="shared" si="79"/>
        <v>1.0555555555555614</v>
      </c>
      <c r="BF1284" t="e">
        <f t="shared" ref="BF1284:BF1347" ca="1" si="80">IF(BG1284=0,AVERAGE(OFFSET(BH1284,0,0,1,$A$1-1)),AVERAGE(BG1284,OFFSET(BH1284,0,0,1,$A$1-1)))</f>
        <v>#VALUE!</v>
      </c>
      <c r="BG1284" t="e">
        <f t="shared" ca="1" si="78"/>
        <v>#VALUE!</v>
      </c>
    </row>
    <row r="1285" spans="57:59" x14ac:dyDescent="0.2">
      <c r="BE1285" s="19">
        <f t="shared" si="79"/>
        <v>1.0562500000000059</v>
      </c>
      <c r="BF1285" t="e">
        <f t="shared" ca="1" si="80"/>
        <v>#VALUE!</v>
      </c>
      <c r="BG1285" t="e">
        <f t="shared" ref="BG1285:BG1348" ca="1" si="81">IF(BE1285&lt;$B$5-1/1440,0,OFFSET($AA$4,(BE1285-$B$4)*1440,0,1,1))</f>
        <v>#VALUE!</v>
      </c>
    </row>
    <row r="1286" spans="57:59" x14ac:dyDescent="0.2">
      <c r="BE1286" s="19">
        <f t="shared" ref="BE1286:BE1349" si="82">BE1285+1/1440</f>
        <v>1.0569444444444505</v>
      </c>
      <c r="BF1286" t="e">
        <f t="shared" ca="1" si="80"/>
        <v>#VALUE!</v>
      </c>
      <c r="BG1286" t="e">
        <f t="shared" ca="1" si="81"/>
        <v>#VALUE!</v>
      </c>
    </row>
    <row r="1287" spans="57:59" x14ac:dyDescent="0.2">
      <c r="BE1287" s="19">
        <f t="shared" si="82"/>
        <v>1.057638888888895</v>
      </c>
      <c r="BF1287" t="e">
        <f t="shared" ca="1" si="80"/>
        <v>#VALUE!</v>
      </c>
      <c r="BG1287" t="e">
        <f t="shared" ca="1" si="81"/>
        <v>#VALUE!</v>
      </c>
    </row>
    <row r="1288" spans="57:59" x14ac:dyDescent="0.2">
      <c r="BE1288" s="19">
        <f t="shared" si="82"/>
        <v>1.0583333333333396</v>
      </c>
      <c r="BF1288" t="e">
        <f t="shared" ca="1" si="80"/>
        <v>#VALUE!</v>
      </c>
      <c r="BG1288" t="e">
        <f t="shared" ca="1" si="81"/>
        <v>#VALUE!</v>
      </c>
    </row>
    <row r="1289" spans="57:59" x14ac:dyDescent="0.2">
      <c r="BE1289" s="19">
        <f t="shared" si="82"/>
        <v>1.0590277777777841</v>
      </c>
      <c r="BF1289" t="e">
        <f t="shared" ca="1" si="80"/>
        <v>#VALUE!</v>
      </c>
      <c r="BG1289" t="e">
        <f t="shared" ca="1" si="81"/>
        <v>#VALUE!</v>
      </c>
    </row>
    <row r="1290" spans="57:59" x14ac:dyDescent="0.2">
      <c r="BE1290" s="19">
        <f t="shared" si="82"/>
        <v>1.0597222222222287</v>
      </c>
      <c r="BF1290" t="e">
        <f t="shared" ca="1" si="80"/>
        <v>#VALUE!</v>
      </c>
      <c r="BG1290" t="e">
        <f t="shared" ca="1" si="81"/>
        <v>#VALUE!</v>
      </c>
    </row>
    <row r="1291" spans="57:59" x14ac:dyDescent="0.2">
      <c r="BE1291" s="19">
        <f t="shared" si="82"/>
        <v>1.0604166666666732</v>
      </c>
      <c r="BF1291" t="e">
        <f t="shared" ca="1" si="80"/>
        <v>#VALUE!</v>
      </c>
      <c r="BG1291" t="e">
        <f t="shared" ca="1" si="81"/>
        <v>#VALUE!</v>
      </c>
    </row>
    <row r="1292" spans="57:59" x14ac:dyDescent="0.2">
      <c r="BE1292" s="19">
        <f t="shared" si="82"/>
        <v>1.0611111111111178</v>
      </c>
      <c r="BF1292" t="e">
        <f t="shared" ca="1" si="80"/>
        <v>#VALUE!</v>
      </c>
      <c r="BG1292" t="e">
        <f t="shared" ca="1" si="81"/>
        <v>#VALUE!</v>
      </c>
    </row>
    <row r="1293" spans="57:59" x14ac:dyDescent="0.2">
      <c r="BE1293" s="19">
        <f t="shared" si="82"/>
        <v>1.0618055555555623</v>
      </c>
      <c r="BF1293" t="e">
        <f t="shared" ca="1" si="80"/>
        <v>#VALUE!</v>
      </c>
      <c r="BG1293" t="e">
        <f t="shared" ca="1" si="81"/>
        <v>#VALUE!</v>
      </c>
    </row>
    <row r="1294" spans="57:59" x14ac:dyDescent="0.2">
      <c r="BE1294" s="19">
        <f t="shared" si="82"/>
        <v>1.0625000000000069</v>
      </c>
      <c r="BF1294" t="e">
        <f t="shared" ca="1" si="80"/>
        <v>#VALUE!</v>
      </c>
      <c r="BG1294" t="e">
        <f t="shared" ca="1" si="81"/>
        <v>#VALUE!</v>
      </c>
    </row>
    <row r="1295" spans="57:59" x14ac:dyDescent="0.2">
      <c r="BE1295" s="19">
        <f t="shared" si="82"/>
        <v>1.0631944444444514</v>
      </c>
      <c r="BF1295" t="e">
        <f t="shared" ca="1" si="80"/>
        <v>#VALUE!</v>
      </c>
      <c r="BG1295" t="e">
        <f t="shared" ca="1" si="81"/>
        <v>#VALUE!</v>
      </c>
    </row>
    <row r="1296" spans="57:59" x14ac:dyDescent="0.2">
      <c r="BE1296" s="19">
        <f t="shared" si="82"/>
        <v>1.063888888888896</v>
      </c>
      <c r="BF1296" t="e">
        <f t="shared" ca="1" si="80"/>
        <v>#VALUE!</v>
      </c>
      <c r="BG1296" t="e">
        <f t="shared" ca="1" si="81"/>
        <v>#VALUE!</v>
      </c>
    </row>
    <row r="1297" spans="57:59" x14ac:dyDescent="0.2">
      <c r="BE1297" s="19">
        <f t="shared" si="82"/>
        <v>1.0645833333333405</v>
      </c>
      <c r="BF1297" t="e">
        <f t="shared" ca="1" si="80"/>
        <v>#VALUE!</v>
      </c>
      <c r="BG1297" t="e">
        <f t="shared" ca="1" si="81"/>
        <v>#VALUE!</v>
      </c>
    </row>
    <row r="1298" spans="57:59" x14ac:dyDescent="0.2">
      <c r="BE1298" s="19">
        <f t="shared" si="82"/>
        <v>1.0652777777777851</v>
      </c>
      <c r="BF1298" t="e">
        <f t="shared" ca="1" si="80"/>
        <v>#VALUE!</v>
      </c>
      <c r="BG1298" t="e">
        <f t="shared" ca="1" si="81"/>
        <v>#VALUE!</v>
      </c>
    </row>
    <row r="1299" spans="57:59" x14ac:dyDescent="0.2">
      <c r="BE1299" s="19">
        <f t="shared" si="82"/>
        <v>1.0659722222222296</v>
      </c>
      <c r="BF1299" t="e">
        <f t="shared" ca="1" si="80"/>
        <v>#VALUE!</v>
      </c>
      <c r="BG1299" t="e">
        <f t="shared" ca="1" si="81"/>
        <v>#VALUE!</v>
      </c>
    </row>
    <row r="1300" spans="57:59" x14ac:dyDescent="0.2">
      <c r="BE1300" s="19">
        <f t="shared" si="82"/>
        <v>1.0666666666666742</v>
      </c>
      <c r="BF1300" t="e">
        <f t="shared" ca="1" si="80"/>
        <v>#VALUE!</v>
      </c>
      <c r="BG1300" t="e">
        <f t="shared" ca="1" si="81"/>
        <v>#VALUE!</v>
      </c>
    </row>
    <row r="1301" spans="57:59" x14ac:dyDescent="0.2">
      <c r="BE1301" s="19">
        <f t="shared" si="82"/>
        <v>1.0673611111111188</v>
      </c>
      <c r="BF1301" t="e">
        <f t="shared" ca="1" si="80"/>
        <v>#VALUE!</v>
      </c>
      <c r="BG1301" t="e">
        <f t="shared" ca="1" si="81"/>
        <v>#VALUE!</v>
      </c>
    </row>
    <row r="1302" spans="57:59" x14ac:dyDescent="0.2">
      <c r="BE1302" s="19">
        <f t="shared" si="82"/>
        <v>1.0680555555555633</v>
      </c>
      <c r="BF1302" t="e">
        <f t="shared" ca="1" si="80"/>
        <v>#VALUE!</v>
      </c>
      <c r="BG1302" t="e">
        <f t="shared" ca="1" si="81"/>
        <v>#VALUE!</v>
      </c>
    </row>
    <row r="1303" spans="57:59" x14ac:dyDescent="0.2">
      <c r="BE1303" s="19">
        <f t="shared" si="82"/>
        <v>1.0687500000000079</v>
      </c>
      <c r="BF1303" t="e">
        <f t="shared" ca="1" si="80"/>
        <v>#VALUE!</v>
      </c>
      <c r="BG1303" t="e">
        <f t="shared" ca="1" si="81"/>
        <v>#VALUE!</v>
      </c>
    </row>
    <row r="1304" spans="57:59" x14ac:dyDescent="0.2">
      <c r="BE1304" s="19">
        <f t="shared" si="82"/>
        <v>1.0694444444444524</v>
      </c>
      <c r="BF1304" t="e">
        <f t="shared" ca="1" si="80"/>
        <v>#VALUE!</v>
      </c>
      <c r="BG1304" t="e">
        <f t="shared" ca="1" si="81"/>
        <v>#VALUE!</v>
      </c>
    </row>
    <row r="1305" spans="57:59" x14ac:dyDescent="0.2">
      <c r="BE1305" s="19">
        <f t="shared" si="82"/>
        <v>1.070138888888897</v>
      </c>
      <c r="BF1305" t="e">
        <f t="shared" ca="1" si="80"/>
        <v>#VALUE!</v>
      </c>
      <c r="BG1305" t="e">
        <f t="shared" ca="1" si="81"/>
        <v>#VALUE!</v>
      </c>
    </row>
    <row r="1306" spans="57:59" x14ac:dyDescent="0.2">
      <c r="BE1306" s="19">
        <f t="shared" si="82"/>
        <v>1.0708333333333415</v>
      </c>
      <c r="BF1306" t="e">
        <f t="shared" ca="1" si="80"/>
        <v>#VALUE!</v>
      </c>
      <c r="BG1306" t="e">
        <f t="shared" ca="1" si="81"/>
        <v>#VALUE!</v>
      </c>
    </row>
    <row r="1307" spans="57:59" x14ac:dyDescent="0.2">
      <c r="BE1307" s="19">
        <f t="shared" si="82"/>
        <v>1.0715277777777861</v>
      </c>
      <c r="BF1307" t="e">
        <f t="shared" ca="1" si="80"/>
        <v>#VALUE!</v>
      </c>
      <c r="BG1307" t="e">
        <f t="shared" ca="1" si="81"/>
        <v>#VALUE!</v>
      </c>
    </row>
    <row r="1308" spans="57:59" x14ac:dyDescent="0.2">
      <c r="BE1308" s="19">
        <f t="shared" si="82"/>
        <v>1.0722222222222306</v>
      </c>
      <c r="BF1308" t="e">
        <f t="shared" ca="1" si="80"/>
        <v>#VALUE!</v>
      </c>
      <c r="BG1308" t="e">
        <f t="shared" ca="1" si="81"/>
        <v>#VALUE!</v>
      </c>
    </row>
    <row r="1309" spans="57:59" x14ac:dyDescent="0.2">
      <c r="BE1309" s="19">
        <f t="shared" si="82"/>
        <v>1.0729166666666752</v>
      </c>
      <c r="BF1309" t="e">
        <f t="shared" ca="1" si="80"/>
        <v>#VALUE!</v>
      </c>
      <c r="BG1309" t="e">
        <f t="shared" ca="1" si="81"/>
        <v>#VALUE!</v>
      </c>
    </row>
    <row r="1310" spans="57:59" x14ac:dyDescent="0.2">
      <c r="BE1310" s="19">
        <f t="shared" si="82"/>
        <v>1.0736111111111197</v>
      </c>
      <c r="BF1310" t="e">
        <f t="shared" ca="1" si="80"/>
        <v>#VALUE!</v>
      </c>
      <c r="BG1310" t="e">
        <f t="shared" ca="1" si="81"/>
        <v>#VALUE!</v>
      </c>
    </row>
    <row r="1311" spans="57:59" x14ac:dyDescent="0.2">
      <c r="BE1311" s="19">
        <f t="shared" si="82"/>
        <v>1.0743055555555643</v>
      </c>
      <c r="BF1311" t="e">
        <f t="shared" ca="1" si="80"/>
        <v>#VALUE!</v>
      </c>
      <c r="BG1311" t="e">
        <f t="shared" ca="1" si="81"/>
        <v>#VALUE!</v>
      </c>
    </row>
    <row r="1312" spans="57:59" x14ac:dyDescent="0.2">
      <c r="BE1312" s="19">
        <f t="shared" si="82"/>
        <v>1.0750000000000088</v>
      </c>
      <c r="BF1312" t="e">
        <f t="shared" ca="1" si="80"/>
        <v>#VALUE!</v>
      </c>
      <c r="BG1312" t="e">
        <f t="shared" ca="1" si="81"/>
        <v>#VALUE!</v>
      </c>
    </row>
    <row r="1313" spans="57:59" x14ac:dyDescent="0.2">
      <c r="BE1313" s="19">
        <f t="shared" si="82"/>
        <v>1.0756944444444534</v>
      </c>
      <c r="BF1313" t="e">
        <f t="shared" ca="1" si="80"/>
        <v>#VALUE!</v>
      </c>
      <c r="BG1313" t="e">
        <f t="shared" ca="1" si="81"/>
        <v>#VALUE!</v>
      </c>
    </row>
    <row r="1314" spans="57:59" x14ac:dyDescent="0.2">
      <c r="BE1314" s="19">
        <f t="shared" si="82"/>
        <v>1.0763888888888979</v>
      </c>
      <c r="BF1314" t="e">
        <f t="shared" ca="1" si="80"/>
        <v>#VALUE!</v>
      </c>
      <c r="BG1314" t="e">
        <f t="shared" ca="1" si="81"/>
        <v>#VALUE!</v>
      </c>
    </row>
    <row r="1315" spans="57:59" x14ac:dyDescent="0.2">
      <c r="BE1315" s="19">
        <f t="shared" si="82"/>
        <v>1.0770833333333425</v>
      </c>
      <c r="BF1315" t="e">
        <f t="shared" ca="1" si="80"/>
        <v>#VALUE!</v>
      </c>
      <c r="BG1315" t="e">
        <f t="shared" ca="1" si="81"/>
        <v>#VALUE!</v>
      </c>
    </row>
    <row r="1316" spans="57:59" x14ac:dyDescent="0.2">
      <c r="BE1316" s="19">
        <f t="shared" si="82"/>
        <v>1.077777777777787</v>
      </c>
      <c r="BF1316" t="e">
        <f t="shared" ca="1" si="80"/>
        <v>#VALUE!</v>
      </c>
      <c r="BG1316" t="e">
        <f t="shared" ca="1" si="81"/>
        <v>#VALUE!</v>
      </c>
    </row>
    <row r="1317" spans="57:59" x14ac:dyDescent="0.2">
      <c r="BE1317" s="19">
        <f t="shared" si="82"/>
        <v>1.0784722222222316</v>
      </c>
      <c r="BF1317" t="e">
        <f t="shared" ca="1" si="80"/>
        <v>#VALUE!</v>
      </c>
      <c r="BG1317" t="e">
        <f t="shared" ca="1" si="81"/>
        <v>#VALUE!</v>
      </c>
    </row>
    <row r="1318" spans="57:59" x14ac:dyDescent="0.2">
      <c r="BE1318" s="19">
        <f t="shared" si="82"/>
        <v>1.0791666666666762</v>
      </c>
      <c r="BF1318" t="e">
        <f t="shared" ca="1" si="80"/>
        <v>#VALUE!</v>
      </c>
      <c r="BG1318" t="e">
        <f t="shared" ca="1" si="81"/>
        <v>#VALUE!</v>
      </c>
    </row>
    <row r="1319" spans="57:59" x14ac:dyDescent="0.2">
      <c r="BE1319" s="19">
        <f t="shared" si="82"/>
        <v>1.0798611111111207</v>
      </c>
      <c r="BF1319" t="e">
        <f t="shared" ca="1" si="80"/>
        <v>#VALUE!</v>
      </c>
      <c r="BG1319" t="e">
        <f t="shared" ca="1" si="81"/>
        <v>#VALUE!</v>
      </c>
    </row>
    <row r="1320" spans="57:59" x14ac:dyDescent="0.2">
      <c r="BE1320" s="19">
        <f t="shared" si="82"/>
        <v>1.0805555555555653</v>
      </c>
      <c r="BF1320" t="e">
        <f t="shared" ca="1" si="80"/>
        <v>#VALUE!</v>
      </c>
      <c r="BG1320" t="e">
        <f t="shared" ca="1" si="81"/>
        <v>#VALUE!</v>
      </c>
    </row>
    <row r="1321" spans="57:59" x14ac:dyDescent="0.2">
      <c r="BE1321" s="19">
        <f t="shared" si="82"/>
        <v>1.0812500000000098</v>
      </c>
      <c r="BF1321" t="e">
        <f t="shared" ca="1" si="80"/>
        <v>#VALUE!</v>
      </c>
      <c r="BG1321" t="e">
        <f t="shared" ca="1" si="81"/>
        <v>#VALUE!</v>
      </c>
    </row>
    <row r="1322" spans="57:59" x14ac:dyDescent="0.2">
      <c r="BE1322" s="19">
        <f t="shared" si="82"/>
        <v>1.0819444444444544</v>
      </c>
      <c r="BF1322" t="e">
        <f t="shared" ca="1" si="80"/>
        <v>#VALUE!</v>
      </c>
      <c r="BG1322" t="e">
        <f t="shared" ca="1" si="81"/>
        <v>#VALUE!</v>
      </c>
    </row>
    <row r="1323" spans="57:59" x14ac:dyDescent="0.2">
      <c r="BE1323" s="19">
        <f t="shared" si="82"/>
        <v>1.0826388888888989</v>
      </c>
      <c r="BF1323" t="e">
        <f t="shared" ca="1" si="80"/>
        <v>#VALUE!</v>
      </c>
      <c r="BG1323" t="e">
        <f t="shared" ca="1" si="81"/>
        <v>#VALUE!</v>
      </c>
    </row>
    <row r="1324" spans="57:59" x14ac:dyDescent="0.2">
      <c r="BE1324" s="19">
        <f t="shared" si="82"/>
        <v>1.0833333333333435</v>
      </c>
      <c r="BF1324" t="e">
        <f t="shared" ca="1" si="80"/>
        <v>#VALUE!</v>
      </c>
      <c r="BG1324" t="e">
        <f t="shared" ca="1" si="81"/>
        <v>#VALUE!</v>
      </c>
    </row>
    <row r="1325" spans="57:59" x14ac:dyDescent="0.2">
      <c r="BE1325" s="19">
        <f t="shared" si="82"/>
        <v>1.084027777777788</v>
      </c>
      <c r="BF1325" t="e">
        <f t="shared" ca="1" si="80"/>
        <v>#VALUE!</v>
      </c>
      <c r="BG1325" t="e">
        <f t="shared" ca="1" si="81"/>
        <v>#VALUE!</v>
      </c>
    </row>
    <row r="1326" spans="57:59" x14ac:dyDescent="0.2">
      <c r="BE1326" s="19">
        <f t="shared" si="82"/>
        <v>1.0847222222222326</v>
      </c>
      <c r="BF1326" t="e">
        <f t="shared" ca="1" si="80"/>
        <v>#VALUE!</v>
      </c>
      <c r="BG1326" t="e">
        <f t="shared" ca="1" si="81"/>
        <v>#VALUE!</v>
      </c>
    </row>
    <row r="1327" spans="57:59" x14ac:dyDescent="0.2">
      <c r="BE1327" s="19">
        <f t="shared" si="82"/>
        <v>1.0854166666666771</v>
      </c>
      <c r="BF1327" t="e">
        <f t="shared" ca="1" si="80"/>
        <v>#VALUE!</v>
      </c>
      <c r="BG1327" t="e">
        <f t="shared" ca="1" si="81"/>
        <v>#VALUE!</v>
      </c>
    </row>
    <row r="1328" spans="57:59" x14ac:dyDescent="0.2">
      <c r="BE1328" s="19">
        <f t="shared" si="82"/>
        <v>1.0861111111111217</v>
      </c>
      <c r="BF1328" t="e">
        <f t="shared" ca="1" si="80"/>
        <v>#VALUE!</v>
      </c>
      <c r="BG1328" t="e">
        <f t="shared" ca="1" si="81"/>
        <v>#VALUE!</v>
      </c>
    </row>
    <row r="1329" spans="57:59" x14ac:dyDescent="0.2">
      <c r="BE1329" s="19">
        <f t="shared" si="82"/>
        <v>1.0868055555555662</v>
      </c>
      <c r="BF1329" t="e">
        <f t="shared" ca="1" si="80"/>
        <v>#VALUE!</v>
      </c>
      <c r="BG1329" t="e">
        <f t="shared" ca="1" si="81"/>
        <v>#VALUE!</v>
      </c>
    </row>
    <row r="1330" spans="57:59" x14ac:dyDescent="0.2">
      <c r="BE1330" s="19">
        <f t="shared" si="82"/>
        <v>1.0875000000000108</v>
      </c>
      <c r="BF1330" t="e">
        <f t="shared" ca="1" si="80"/>
        <v>#VALUE!</v>
      </c>
      <c r="BG1330" t="e">
        <f t="shared" ca="1" si="81"/>
        <v>#VALUE!</v>
      </c>
    </row>
    <row r="1331" spans="57:59" x14ac:dyDescent="0.2">
      <c r="BE1331" s="19">
        <f t="shared" si="82"/>
        <v>1.0881944444444553</v>
      </c>
      <c r="BF1331" t="e">
        <f t="shared" ca="1" si="80"/>
        <v>#VALUE!</v>
      </c>
      <c r="BG1331" t="e">
        <f t="shared" ca="1" si="81"/>
        <v>#VALUE!</v>
      </c>
    </row>
    <row r="1332" spans="57:59" x14ac:dyDescent="0.2">
      <c r="BE1332" s="19">
        <f t="shared" si="82"/>
        <v>1.0888888888888999</v>
      </c>
      <c r="BF1332" t="e">
        <f t="shared" ca="1" si="80"/>
        <v>#VALUE!</v>
      </c>
      <c r="BG1332" t="e">
        <f t="shared" ca="1" si="81"/>
        <v>#VALUE!</v>
      </c>
    </row>
    <row r="1333" spans="57:59" x14ac:dyDescent="0.2">
      <c r="BE1333" s="19">
        <f t="shared" si="82"/>
        <v>1.0895833333333445</v>
      </c>
      <c r="BF1333" t="e">
        <f t="shared" ca="1" si="80"/>
        <v>#VALUE!</v>
      </c>
      <c r="BG1333" t="e">
        <f t="shared" ca="1" si="81"/>
        <v>#VALUE!</v>
      </c>
    </row>
    <row r="1334" spans="57:59" x14ac:dyDescent="0.2">
      <c r="BE1334" s="19">
        <f t="shared" si="82"/>
        <v>1.090277777777789</v>
      </c>
      <c r="BF1334" t="e">
        <f t="shared" ca="1" si="80"/>
        <v>#VALUE!</v>
      </c>
      <c r="BG1334" t="e">
        <f t="shared" ca="1" si="81"/>
        <v>#VALUE!</v>
      </c>
    </row>
    <row r="1335" spans="57:59" x14ac:dyDescent="0.2">
      <c r="BE1335" s="19">
        <f t="shared" si="82"/>
        <v>1.0909722222222336</v>
      </c>
      <c r="BF1335" t="e">
        <f t="shared" ca="1" si="80"/>
        <v>#VALUE!</v>
      </c>
      <c r="BG1335" t="e">
        <f t="shared" ca="1" si="81"/>
        <v>#VALUE!</v>
      </c>
    </row>
    <row r="1336" spans="57:59" x14ac:dyDescent="0.2">
      <c r="BE1336" s="19">
        <f t="shared" si="82"/>
        <v>1.0916666666666781</v>
      </c>
      <c r="BF1336" t="e">
        <f t="shared" ca="1" si="80"/>
        <v>#VALUE!</v>
      </c>
      <c r="BG1336" t="e">
        <f t="shared" ca="1" si="81"/>
        <v>#VALUE!</v>
      </c>
    </row>
    <row r="1337" spans="57:59" x14ac:dyDescent="0.2">
      <c r="BE1337" s="19">
        <f t="shared" si="82"/>
        <v>1.0923611111111227</v>
      </c>
      <c r="BF1337" t="e">
        <f t="shared" ca="1" si="80"/>
        <v>#VALUE!</v>
      </c>
      <c r="BG1337" t="e">
        <f t="shared" ca="1" si="81"/>
        <v>#VALUE!</v>
      </c>
    </row>
    <row r="1338" spans="57:59" x14ac:dyDescent="0.2">
      <c r="BE1338" s="19">
        <f t="shared" si="82"/>
        <v>1.0930555555555672</v>
      </c>
      <c r="BF1338" t="e">
        <f t="shared" ca="1" si="80"/>
        <v>#VALUE!</v>
      </c>
      <c r="BG1338" t="e">
        <f t="shared" ca="1" si="81"/>
        <v>#VALUE!</v>
      </c>
    </row>
    <row r="1339" spans="57:59" x14ac:dyDescent="0.2">
      <c r="BE1339" s="19">
        <f t="shared" si="82"/>
        <v>1.0937500000000118</v>
      </c>
      <c r="BF1339" t="e">
        <f t="shared" ca="1" si="80"/>
        <v>#VALUE!</v>
      </c>
      <c r="BG1339" t="e">
        <f t="shared" ca="1" si="81"/>
        <v>#VALUE!</v>
      </c>
    </row>
    <row r="1340" spans="57:59" x14ac:dyDescent="0.2">
      <c r="BE1340" s="19">
        <f t="shared" si="82"/>
        <v>1.0944444444444563</v>
      </c>
      <c r="BF1340" t="e">
        <f t="shared" ca="1" si="80"/>
        <v>#VALUE!</v>
      </c>
      <c r="BG1340" t="e">
        <f t="shared" ca="1" si="81"/>
        <v>#VALUE!</v>
      </c>
    </row>
    <row r="1341" spans="57:59" x14ac:dyDescent="0.2">
      <c r="BE1341" s="19">
        <f t="shared" si="82"/>
        <v>1.0951388888889009</v>
      </c>
      <c r="BF1341" t="e">
        <f t="shared" ca="1" si="80"/>
        <v>#VALUE!</v>
      </c>
      <c r="BG1341" t="e">
        <f t="shared" ca="1" si="81"/>
        <v>#VALUE!</v>
      </c>
    </row>
    <row r="1342" spans="57:59" x14ac:dyDescent="0.2">
      <c r="BE1342" s="19">
        <f t="shared" si="82"/>
        <v>1.0958333333333454</v>
      </c>
      <c r="BF1342" t="e">
        <f t="shared" ca="1" si="80"/>
        <v>#VALUE!</v>
      </c>
      <c r="BG1342" t="e">
        <f t="shared" ca="1" si="81"/>
        <v>#VALUE!</v>
      </c>
    </row>
    <row r="1343" spans="57:59" x14ac:dyDescent="0.2">
      <c r="BE1343" s="19">
        <f t="shared" si="82"/>
        <v>1.09652777777779</v>
      </c>
      <c r="BF1343" t="e">
        <f t="shared" ca="1" si="80"/>
        <v>#VALUE!</v>
      </c>
      <c r="BG1343" t="e">
        <f t="shared" ca="1" si="81"/>
        <v>#VALUE!</v>
      </c>
    </row>
    <row r="1344" spans="57:59" x14ac:dyDescent="0.2">
      <c r="BE1344" s="19">
        <f t="shared" si="82"/>
        <v>1.0972222222222345</v>
      </c>
      <c r="BF1344" t="e">
        <f t="shared" ca="1" si="80"/>
        <v>#VALUE!</v>
      </c>
      <c r="BG1344" t="e">
        <f t="shared" ca="1" si="81"/>
        <v>#VALUE!</v>
      </c>
    </row>
    <row r="1345" spans="57:59" x14ac:dyDescent="0.2">
      <c r="BE1345" s="19">
        <f t="shared" si="82"/>
        <v>1.0979166666666791</v>
      </c>
      <c r="BF1345" t="e">
        <f t="shared" ca="1" si="80"/>
        <v>#VALUE!</v>
      </c>
      <c r="BG1345" t="e">
        <f t="shared" ca="1" si="81"/>
        <v>#VALUE!</v>
      </c>
    </row>
    <row r="1346" spans="57:59" x14ac:dyDescent="0.2">
      <c r="BE1346" s="19">
        <f t="shared" si="82"/>
        <v>1.0986111111111236</v>
      </c>
      <c r="BF1346" t="e">
        <f t="shared" ca="1" si="80"/>
        <v>#VALUE!</v>
      </c>
      <c r="BG1346" t="e">
        <f t="shared" ca="1" si="81"/>
        <v>#VALUE!</v>
      </c>
    </row>
    <row r="1347" spans="57:59" x14ac:dyDescent="0.2">
      <c r="BE1347" s="19">
        <f t="shared" si="82"/>
        <v>1.0993055555555682</v>
      </c>
      <c r="BF1347" t="e">
        <f t="shared" ca="1" si="80"/>
        <v>#VALUE!</v>
      </c>
      <c r="BG1347" t="e">
        <f t="shared" ca="1" si="81"/>
        <v>#VALUE!</v>
      </c>
    </row>
    <row r="1348" spans="57:59" x14ac:dyDescent="0.2">
      <c r="BE1348" s="19">
        <f t="shared" si="82"/>
        <v>1.1000000000000127</v>
      </c>
      <c r="BF1348" t="e">
        <f t="shared" ref="BF1348:BF1411" ca="1" si="83">IF(BG1348=0,AVERAGE(OFFSET(BH1348,0,0,1,$A$1-1)),AVERAGE(BG1348,OFFSET(BH1348,0,0,1,$A$1-1)))</f>
        <v>#VALUE!</v>
      </c>
      <c r="BG1348" t="e">
        <f t="shared" ca="1" si="81"/>
        <v>#VALUE!</v>
      </c>
    </row>
    <row r="1349" spans="57:59" x14ac:dyDescent="0.2">
      <c r="BE1349" s="19">
        <f t="shared" si="82"/>
        <v>1.1006944444444573</v>
      </c>
      <c r="BF1349" t="e">
        <f t="shared" ca="1" si="83"/>
        <v>#VALUE!</v>
      </c>
      <c r="BG1349" t="e">
        <f t="shared" ref="BG1349:BG1412" ca="1" si="84">IF(BE1349&lt;$B$5-1/1440,0,OFFSET($AA$4,(BE1349-$B$4)*1440,0,1,1))</f>
        <v>#VALUE!</v>
      </c>
    </row>
    <row r="1350" spans="57:59" x14ac:dyDescent="0.2">
      <c r="BE1350" s="19">
        <f t="shared" ref="BE1350:BE1413" si="85">BE1349+1/1440</f>
        <v>1.1013888888889019</v>
      </c>
      <c r="BF1350" t="e">
        <f t="shared" ca="1" si="83"/>
        <v>#VALUE!</v>
      </c>
      <c r="BG1350" t="e">
        <f t="shared" ca="1" si="84"/>
        <v>#VALUE!</v>
      </c>
    </row>
    <row r="1351" spans="57:59" x14ac:dyDescent="0.2">
      <c r="BE1351" s="19">
        <f t="shared" si="85"/>
        <v>1.1020833333333464</v>
      </c>
      <c r="BF1351" t="e">
        <f t="shared" ca="1" si="83"/>
        <v>#VALUE!</v>
      </c>
      <c r="BG1351" t="e">
        <f t="shared" ca="1" si="84"/>
        <v>#VALUE!</v>
      </c>
    </row>
    <row r="1352" spans="57:59" x14ac:dyDescent="0.2">
      <c r="BE1352" s="19">
        <f t="shared" si="85"/>
        <v>1.102777777777791</v>
      </c>
      <c r="BF1352" t="e">
        <f t="shared" ca="1" si="83"/>
        <v>#VALUE!</v>
      </c>
      <c r="BG1352" t="e">
        <f t="shared" ca="1" si="84"/>
        <v>#VALUE!</v>
      </c>
    </row>
    <row r="1353" spans="57:59" x14ac:dyDescent="0.2">
      <c r="BE1353" s="19">
        <f t="shared" si="85"/>
        <v>1.1034722222222355</v>
      </c>
      <c r="BF1353" t="e">
        <f t="shared" ca="1" si="83"/>
        <v>#VALUE!</v>
      </c>
      <c r="BG1353" t="e">
        <f t="shared" ca="1" si="84"/>
        <v>#VALUE!</v>
      </c>
    </row>
    <row r="1354" spans="57:59" x14ac:dyDescent="0.2">
      <c r="BE1354" s="19">
        <f t="shared" si="85"/>
        <v>1.1041666666666801</v>
      </c>
      <c r="BF1354" t="e">
        <f t="shared" ca="1" si="83"/>
        <v>#VALUE!</v>
      </c>
      <c r="BG1354" t="e">
        <f t="shared" ca="1" si="84"/>
        <v>#VALUE!</v>
      </c>
    </row>
    <row r="1355" spans="57:59" x14ac:dyDescent="0.2">
      <c r="BE1355" s="19">
        <f t="shared" si="85"/>
        <v>1.1048611111111246</v>
      </c>
      <c r="BF1355" t="e">
        <f t="shared" ca="1" si="83"/>
        <v>#VALUE!</v>
      </c>
      <c r="BG1355" t="e">
        <f t="shared" ca="1" si="84"/>
        <v>#VALUE!</v>
      </c>
    </row>
    <row r="1356" spans="57:59" x14ac:dyDescent="0.2">
      <c r="BE1356" s="19">
        <f t="shared" si="85"/>
        <v>1.1055555555555692</v>
      </c>
      <c r="BF1356" t="e">
        <f t="shared" ca="1" si="83"/>
        <v>#VALUE!</v>
      </c>
      <c r="BG1356" t="e">
        <f t="shared" ca="1" si="84"/>
        <v>#VALUE!</v>
      </c>
    </row>
    <row r="1357" spans="57:59" x14ac:dyDescent="0.2">
      <c r="BE1357" s="19">
        <f t="shared" si="85"/>
        <v>1.1062500000000137</v>
      </c>
      <c r="BF1357" t="e">
        <f t="shared" ca="1" si="83"/>
        <v>#VALUE!</v>
      </c>
      <c r="BG1357" t="e">
        <f t="shared" ca="1" si="84"/>
        <v>#VALUE!</v>
      </c>
    </row>
    <row r="1358" spans="57:59" x14ac:dyDescent="0.2">
      <c r="BE1358" s="19">
        <f t="shared" si="85"/>
        <v>1.1069444444444583</v>
      </c>
      <c r="BF1358" t="e">
        <f t="shared" ca="1" si="83"/>
        <v>#VALUE!</v>
      </c>
      <c r="BG1358" t="e">
        <f t="shared" ca="1" si="84"/>
        <v>#VALUE!</v>
      </c>
    </row>
    <row r="1359" spans="57:59" x14ac:dyDescent="0.2">
      <c r="BE1359" s="19">
        <f t="shared" si="85"/>
        <v>1.1076388888889028</v>
      </c>
      <c r="BF1359" t="e">
        <f t="shared" ca="1" si="83"/>
        <v>#VALUE!</v>
      </c>
      <c r="BG1359" t="e">
        <f t="shared" ca="1" si="84"/>
        <v>#VALUE!</v>
      </c>
    </row>
    <row r="1360" spans="57:59" x14ac:dyDescent="0.2">
      <c r="BE1360" s="19">
        <f t="shared" si="85"/>
        <v>1.1083333333333474</v>
      </c>
      <c r="BF1360" t="e">
        <f t="shared" ca="1" si="83"/>
        <v>#VALUE!</v>
      </c>
      <c r="BG1360" t="e">
        <f t="shared" ca="1" si="84"/>
        <v>#VALUE!</v>
      </c>
    </row>
    <row r="1361" spans="57:59" x14ac:dyDescent="0.2">
      <c r="BE1361" s="19">
        <f t="shared" si="85"/>
        <v>1.1090277777777919</v>
      </c>
      <c r="BF1361" t="e">
        <f t="shared" ca="1" si="83"/>
        <v>#VALUE!</v>
      </c>
      <c r="BG1361" t="e">
        <f t="shared" ca="1" si="84"/>
        <v>#VALUE!</v>
      </c>
    </row>
    <row r="1362" spans="57:59" x14ac:dyDescent="0.2">
      <c r="BE1362" s="19">
        <f t="shared" si="85"/>
        <v>1.1097222222222365</v>
      </c>
      <c r="BF1362" t="e">
        <f t="shared" ca="1" si="83"/>
        <v>#VALUE!</v>
      </c>
      <c r="BG1362" t="e">
        <f t="shared" ca="1" si="84"/>
        <v>#VALUE!</v>
      </c>
    </row>
    <row r="1363" spans="57:59" x14ac:dyDescent="0.2">
      <c r="BE1363" s="19">
        <f t="shared" si="85"/>
        <v>1.110416666666681</v>
      </c>
      <c r="BF1363" t="e">
        <f t="shared" ca="1" si="83"/>
        <v>#VALUE!</v>
      </c>
      <c r="BG1363" t="e">
        <f t="shared" ca="1" si="84"/>
        <v>#VALUE!</v>
      </c>
    </row>
    <row r="1364" spans="57:59" x14ac:dyDescent="0.2">
      <c r="BE1364" s="19">
        <f t="shared" si="85"/>
        <v>1.1111111111111256</v>
      </c>
      <c r="BF1364" t="e">
        <f t="shared" ca="1" si="83"/>
        <v>#VALUE!</v>
      </c>
      <c r="BG1364" t="e">
        <f t="shared" ca="1" si="84"/>
        <v>#VALUE!</v>
      </c>
    </row>
    <row r="1365" spans="57:59" x14ac:dyDescent="0.2">
      <c r="BE1365" s="19">
        <f t="shared" si="85"/>
        <v>1.1118055555555701</v>
      </c>
      <c r="BF1365" t="e">
        <f t="shared" ca="1" si="83"/>
        <v>#VALUE!</v>
      </c>
      <c r="BG1365" t="e">
        <f t="shared" ca="1" si="84"/>
        <v>#VALUE!</v>
      </c>
    </row>
    <row r="1366" spans="57:59" x14ac:dyDescent="0.2">
      <c r="BE1366" s="19">
        <f t="shared" si="85"/>
        <v>1.1125000000000147</v>
      </c>
      <c r="BF1366" t="e">
        <f t="shared" ca="1" si="83"/>
        <v>#VALUE!</v>
      </c>
      <c r="BG1366" t="e">
        <f t="shared" ca="1" si="84"/>
        <v>#VALUE!</v>
      </c>
    </row>
    <row r="1367" spans="57:59" x14ac:dyDescent="0.2">
      <c r="BE1367" s="19">
        <f t="shared" si="85"/>
        <v>1.1131944444444593</v>
      </c>
      <c r="BF1367" t="e">
        <f t="shared" ca="1" si="83"/>
        <v>#VALUE!</v>
      </c>
      <c r="BG1367" t="e">
        <f t="shared" ca="1" si="84"/>
        <v>#VALUE!</v>
      </c>
    </row>
    <row r="1368" spans="57:59" x14ac:dyDescent="0.2">
      <c r="BE1368" s="19">
        <f t="shared" si="85"/>
        <v>1.1138888888889038</v>
      </c>
      <c r="BF1368" t="e">
        <f t="shared" ca="1" si="83"/>
        <v>#VALUE!</v>
      </c>
      <c r="BG1368" t="e">
        <f t="shared" ca="1" si="84"/>
        <v>#VALUE!</v>
      </c>
    </row>
    <row r="1369" spans="57:59" x14ac:dyDescent="0.2">
      <c r="BE1369" s="19">
        <f t="shared" si="85"/>
        <v>1.1145833333333484</v>
      </c>
      <c r="BF1369" t="e">
        <f t="shared" ca="1" si="83"/>
        <v>#VALUE!</v>
      </c>
      <c r="BG1369" t="e">
        <f t="shared" ca="1" si="84"/>
        <v>#VALUE!</v>
      </c>
    </row>
    <row r="1370" spans="57:59" x14ac:dyDescent="0.2">
      <c r="BE1370" s="19">
        <f t="shared" si="85"/>
        <v>1.1152777777777929</v>
      </c>
      <c r="BF1370" t="e">
        <f t="shared" ca="1" si="83"/>
        <v>#VALUE!</v>
      </c>
      <c r="BG1370" t="e">
        <f t="shared" ca="1" si="84"/>
        <v>#VALUE!</v>
      </c>
    </row>
    <row r="1371" spans="57:59" x14ac:dyDescent="0.2">
      <c r="BE1371" s="19">
        <f t="shared" si="85"/>
        <v>1.1159722222222375</v>
      </c>
      <c r="BF1371" t="e">
        <f t="shared" ca="1" si="83"/>
        <v>#VALUE!</v>
      </c>
      <c r="BG1371" t="e">
        <f t="shared" ca="1" si="84"/>
        <v>#VALUE!</v>
      </c>
    </row>
    <row r="1372" spans="57:59" x14ac:dyDescent="0.2">
      <c r="BE1372" s="19">
        <f t="shared" si="85"/>
        <v>1.116666666666682</v>
      </c>
      <c r="BF1372" t="e">
        <f t="shared" ca="1" si="83"/>
        <v>#VALUE!</v>
      </c>
      <c r="BG1372" t="e">
        <f t="shared" ca="1" si="84"/>
        <v>#VALUE!</v>
      </c>
    </row>
    <row r="1373" spans="57:59" x14ac:dyDescent="0.2">
      <c r="BE1373" s="19">
        <f t="shared" si="85"/>
        <v>1.1173611111111266</v>
      </c>
      <c r="BF1373" t="e">
        <f t="shared" ca="1" si="83"/>
        <v>#VALUE!</v>
      </c>
      <c r="BG1373" t="e">
        <f t="shared" ca="1" si="84"/>
        <v>#VALUE!</v>
      </c>
    </row>
    <row r="1374" spans="57:59" x14ac:dyDescent="0.2">
      <c r="BE1374" s="19">
        <f t="shared" si="85"/>
        <v>1.1180555555555711</v>
      </c>
      <c r="BF1374" t="e">
        <f t="shared" ca="1" si="83"/>
        <v>#VALUE!</v>
      </c>
      <c r="BG1374" t="e">
        <f t="shared" ca="1" si="84"/>
        <v>#VALUE!</v>
      </c>
    </row>
    <row r="1375" spans="57:59" x14ac:dyDescent="0.2">
      <c r="BE1375" s="19">
        <f t="shared" si="85"/>
        <v>1.1187500000000157</v>
      </c>
      <c r="BF1375" t="e">
        <f t="shared" ca="1" si="83"/>
        <v>#VALUE!</v>
      </c>
      <c r="BG1375" t="e">
        <f t="shared" ca="1" si="84"/>
        <v>#VALUE!</v>
      </c>
    </row>
    <row r="1376" spans="57:59" x14ac:dyDescent="0.2">
      <c r="BE1376" s="19">
        <f t="shared" si="85"/>
        <v>1.1194444444444602</v>
      </c>
      <c r="BF1376" t="e">
        <f t="shared" ca="1" si="83"/>
        <v>#VALUE!</v>
      </c>
      <c r="BG1376" t="e">
        <f t="shared" ca="1" si="84"/>
        <v>#VALUE!</v>
      </c>
    </row>
    <row r="1377" spans="57:59" x14ac:dyDescent="0.2">
      <c r="BE1377" s="19">
        <f t="shared" si="85"/>
        <v>1.1201388888889048</v>
      </c>
      <c r="BF1377" t="e">
        <f t="shared" ca="1" si="83"/>
        <v>#VALUE!</v>
      </c>
      <c r="BG1377" t="e">
        <f t="shared" ca="1" si="84"/>
        <v>#VALUE!</v>
      </c>
    </row>
    <row r="1378" spans="57:59" x14ac:dyDescent="0.2">
      <c r="BE1378" s="19">
        <f t="shared" si="85"/>
        <v>1.1208333333333493</v>
      </c>
      <c r="BF1378" t="e">
        <f t="shared" ca="1" si="83"/>
        <v>#VALUE!</v>
      </c>
      <c r="BG1378" t="e">
        <f t="shared" ca="1" si="84"/>
        <v>#VALUE!</v>
      </c>
    </row>
    <row r="1379" spans="57:59" x14ac:dyDescent="0.2">
      <c r="BE1379" s="19">
        <f t="shared" si="85"/>
        <v>1.1215277777777939</v>
      </c>
      <c r="BF1379" t="e">
        <f t="shared" ca="1" si="83"/>
        <v>#VALUE!</v>
      </c>
      <c r="BG1379" t="e">
        <f t="shared" ca="1" si="84"/>
        <v>#VALUE!</v>
      </c>
    </row>
    <row r="1380" spans="57:59" x14ac:dyDescent="0.2">
      <c r="BE1380" s="19">
        <f t="shared" si="85"/>
        <v>1.1222222222222384</v>
      </c>
      <c r="BF1380" t="e">
        <f t="shared" ca="1" si="83"/>
        <v>#VALUE!</v>
      </c>
      <c r="BG1380" t="e">
        <f t="shared" ca="1" si="84"/>
        <v>#VALUE!</v>
      </c>
    </row>
    <row r="1381" spans="57:59" x14ac:dyDescent="0.2">
      <c r="BE1381" s="19">
        <f t="shared" si="85"/>
        <v>1.122916666666683</v>
      </c>
      <c r="BF1381" t="e">
        <f t="shared" ca="1" si="83"/>
        <v>#VALUE!</v>
      </c>
      <c r="BG1381" t="e">
        <f t="shared" ca="1" si="84"/>
        <v>#VALUE!</v>
      </c>
    </row>
    <row r="1382" spans="57:59" x14ac:dyDescent="0.2">
      <c r="BE1382" s="19">
        <f t="shared" si="85"/>
        <v>1.1236111111111275</v>
      </c>
      <c r="BF1382" t="e">
        <f t="shared" ca="1" si="83"/>
        <v>#VALUE!</v>
      </c>
      <c r="BG1382" t="e">
        <f t="shared" ca="1" si="84"/>
        <v>#VALUE!</v>
      </c>
    </row>
    <row r="1383" spans="57:59" x14ac:dyDescent="0.2">
      <c r="BE1383" s="19">
        <f t="shared" si="85"/>
        <v>1.1243055555555721</v>
      </c>
      <c r="BF1383" t="e">
        <f t="shared" ca="1" si="83"/>
        <v>#VALUE!</v>
      </c>
      <c r="BG1383" t="e">
        <f t="shared" ca="1" si="84"/>
        <v>#VALUE!</v>
      </c>
    </row>
    <row r="1384" spans="57:59" x14ac:dyDescent="0.2">
      <c r="BE1384" s="19">
        <f t="shared" si="85"/>
        <v>1.1250000000000167</v>
      </c>
      <c r="BF1384" t="e">
        <f t="shared" ca="1" si="83"/>
        <v>#VALUE!</v>
      </c>
      <c r="BG1384" t="e">
        <f t="shared" ca="1" si="84"/>
        <v>#VALUE!</v>
      </c>
    </row>
    <row r="1385" spans="57:59" x14ac:dyDescent="0.2">
      <c r="BE1385" s="19">
        <f t="shared" si="85"/>
        <v>1.1256944444444612</v>
      </c>
      <c r="BF1385" t="e">
        <f t="shared" ca="1" si="83"/>
        <v>#VALUE!</v>
      </c>
      <c r="BG1385" t="e">
        <f t="shared" ca="1" si="84"/>
        <v>#VALUE!</v>
      </c>
    </row>
    <row r="1386" spans="57:59" x14ac:dyDescent="0.2">
      <c r="BE1386" s="19">
        <f t="shared" si="85"/>
        <v>1.1263888888889058</v>
      </c>
      <c r="BF1386" t="e">
        <f t="shared" ca="1" si="83"/>
        <v>#VALUE!</v>
      </c>
      <c r="BG1386" t="e">
        <f t="shared" ca="1" si="84"/>
        <v>#VALUE!</v>
      </c>
    </row>
    <row r="1387" spans="57:59" x14ac:dyDescent="0.2">
      <c r="BE1387" s="19">
        <f t="shared" si="85"/>
        <v>1.1270833333333503</v>
      </c>
      <c r="BF1387" t="e">
        <f t="shared" ca="1" si="83"/>
        <v>#VALUE!</v>
      </c>
      <c r="BG1387" t="e">
        <f t="shared" ca="1" si="84"/>
        <v>#VALUE!</v>
      </c>
    </row>
    <row r="1388" spans="57:59" x14ac:dyDescent="0.2">
      <c r="BE1388" s="19">
        <f t="shared" si="85"/>
        <v>1.1277777777777949</v>
      </c>
      <c r="BF1388" t="e">
        <f t="shared" ca="1" si="83"/>
        <v>#VALUE!</v>
      </c>
      <c r="BG1388" t="e">
        <f t="shared" ca="1" si="84"/>
        <v>#VALUE!</v>
      </c>
    </row>
    <row r="1389" spans="57:59" x14ac:dyDescent="0.2">
      <c r="BE1389" s="19">
        <f t="shared" si="85"/>
        <v>1.1284722222222394</v>
      </c>
      <c r="BF1389" t="e">
        <f t="shared" ca="1" si="83"/>
        <v>#VALUE!</v>
      </c>
      <c r="BG1389" t="e">
        <f t="shared" ca="1" si="84"/>
        <v>#VALUE!</v>
      </c>
    </row>
    <row r="1390" spans="57:59" x14ac:dyDescent="0.2">
      <c r="BE1390" s="19">
        <f t="shared" si="85"/>
        <v>1.129166666666684</v>
      </c>
      <c r="BF1390" t="e">
        <f t="shared" ca="1" si="83"/>
        <v>#VALUE!</v>
      </c>
      <c r="BG1390" t="e">
        <f t="shared" ca="1" si="84"/>
        <v>#VALUE!</v>
      </c>
    </row>
    <row r="1391" spans="57:59" x14ac:dyDescent="0.2">
      <c r="BE1391" s="19">
        <f t="shared" si="85"/>
        <v>1.1298611111111285</v>
      </c>
      <c r="BF1391" t="e">
        <f t="shared" ca="1" si="83"/>
        <v>#VALUE!</v>
      </c>
      <c r="BG1391" t="e">
        <f t="shared" ca="1" si="84"/>
        <v>#VALUE!</v>
      </c>
    </row>
    <row r="1392" spans="57:59" x14ac:dyDescent="0.2">
      <c r="BE1392" s="19">
        <f t="shared" si="85"/>
        <v>1.1305555555555731</v>
      </c>
      <c r="BF1392" t="e">
        <f t="shared" ca="1" si="83"/>
        <v>#VALUE!</v>
      </c>
      <c r="BG1392" t="e">
        <f t="shared" ca="1" si="84"/>
        <v>#VALUE!</v>
      </c>
    </row>
    <row r="1393" spans="57:59" x14ac:dyDescent="0.2">
      <c r="BE1393" s="19">
        <f t="shared" si="85"/>
        <v>1.1312500000000176</v>
      </c>
      <c r="BF1393" t="e">
        <f t="shared" ca="1" si="83"/>
        <v>#VALUE!</v>
      </c>
      <c r="BG1393" t="e">
        <f t="shared" ca="1" si="84"/>
        <v>#VALUE!</v>
      </c>
    </row>
    <row r="1394" spans="57:59" x14ac:dyDescent="0.2">
      <c r="BE1394" s="19">
        <f t="shared" si="85"/>
        <v>1.1319444444444622</v>
      </c>
      <c r="BF1394" t="e">
        <f t="shared" ca="1" si="83"/>
        <v>#VALUE!</v>
      </c>
      <c r="BG1394" t="e">
        <f t="shared" ca="1" si="84"/>
        <v>#VALUE!</v>
      </c>
    </row>
    <row r="1395" spans="57:59" x14ac:dyDescent="0.2">
      <c r="BE1395" s="19">
        <f t="shared" si="85"/>
        <v>1.1326388888889067</v>
      </c>
      <c r="BF1395" t="e">
        <f t="shared" ca="1" si="83"/>
        <v>#VALUE!</v>
      </c>
      <c r="BG1395" t="e">
        <f t="shared" ca="1" si="84"/>
        <v>#VALUE!</v>
      </c>
    </row>
    <row r="1396" spans="57:59" x14ac:dyDescent="0.2">
      <c r="BE1396" s="19">
        <f t="shared" si="85"/>
        <v>1.1333333333333513</v>
      </c>
      <c r="BF1396" t="e">
        <f t="shared" ca="1" si="83"/>
        <v>#VALUE!</v>
      </c>
      <c r="BG1396" t="e">
        <f t="shared" ca="1" si="84"/>
        <v>#VALUE!</v>
      </c>
    </row>
    <row r="1397" spans="57:59" x14ac:dyDescent="0.2">
      <c r="BE1397" s="19">
        <f t="shared" si="85"/>
        <v>1.1340277777777958</v>
      </c>
      <c r="BF1397" t="e">
        <f t="shared" ca="1" si="83"/>
        <v>#VALUE!</v>
      </c>
      <c r="BG1397" t="e">
        <f t="shared" ca="1" si="84"/>
        <v>#VALUE!</v>
      </c>
    </row>
    <row r="1398" spans="57:59" x14ac:dyDescent="0.2">
      <c r="BE1398" s="19">
        <f t="shared" si="85"/>
        <v>1.1347222222222404</v>
      </c>
      <c r="BF1398" t="e">
        <f t="shared" ca="1" si="83"/>
        <v>#VALUE!</v>
      </c>
      <c r="BG1398" t="e">
        <f t="shared" ca="1" si="84"/>
        <v>#VALUE!</v>
      </c>
    </row>
    <row r="1399" spans="57:59" x14ac:dyDescent="0.2">
      <c r="BE1399" s="19">
        <f t="shared" si="85"/>
        <v>1.1354166666666849</v>
      </c>
      <c r="BF1399" t="e">
        <f t="shared" ca="1" si="83"/>
        <v>#VALUE!</v>
      </c>
      <c r="BG1399" t="e">
        <f t="shared" ca="1" si="84"/>
        <v>#VALUE!</v>
      </c>
    </row>
    <row r="1400" spans="57:59" x14ac:dyDescent="0.2">
      <c r="BE1400" s="19">
        <f t="shared" si="85"/>
        <v>1.1361111111111295</v>
      </c>
      <c r="BF1400" t="e">
        <f t="shared" ca="1" si="83"/>
        <v>#VALUE!</v>
      </c>
      <c r="BG1400" t="e">
        <f t="shared" ca="1" si="84"/>
        <v>#VALUE!</v>
      </c>
    </row>
    <row r="1401" spans="57:59" x14ac:dyDescent="0.2">
      <c r="BE1401" s="19">
        <f t="shared" si="85"/>
        <v>1.1368055555555741</v>
      </c>
      <c r="BF1401" t="e">
        <f t="shared" ca="1" si="83"/>
        <v>#VALUE!</v>
      </c>
      <c r="BG1401" t="e">
        <f t="shared" ca="1" si="84"/>
        <v>#VALUE!</v>
      </c>
    </row>
    <row r="1402" spans="57:59" x14ac:dyDescent="0.2">
      <c r="BE1402" s="19">
        <f t="shared" si="85"/>
        <v>1.1375000000000186</v>
      </c>
      <c r="BF1402" t="e">
        <f t="shared" ca="1" si="83"/>
        <v>#VALUE!</v>
      </c>
      <c r="BG1402" t="e">
        <f t="shared" ca="1" si="84"/>
        <v>#VALUE!</v>
      </c>
    </row>
    <row r="1403" spans="57:59" x14ac:dyDescent="0.2">
      <c r="BE1403" s="19">
        <f t="shared" si="85"/>
        <v>1.1381944444444632</v>
      </c>
      <c r="BF1403" t="e">
        <f t="shared" ca="1" si="83"/>
        <v>#VALUE!</v>
      </c>
      <c r="BG1403" t="e">
        <f t="shared" ca="1" si="84"/>
        <v>#VALUE!</v>
      </c>
    </row>
    <row r="1404" spans="57:59" x14ac:dyDescent="0.2">
      <c r="BE1404" s="19">
        <f t="shared" si="85"/>
        <v>1.1388888888889077</v>
      </c>
      <c r="BF1404" t="e">
        <f t="shared" ca="1" si="83"/>
        <v>#VALUE!</v>
      </c>
      <c r="BG1404" t="e">
        <f t="shared" ca="1" si="84"/>
        <v>#VALUE!</v>
      </c>
    </row>
    <row r="1405" spans="57:59" x14ac:dyDescent="0.2">
      <c r="BE1405" s="19">
        <f t="shared" si="85"/>
        <v>1.1395833333333523</v>
      </c>
      <c r="BF1405" t="e">
        <f t="shared" ca="1" si="83"/>
        <v>#VALUE!</v>
      </c>
      <c r="BG1405" t="e">
        <f t="shared" ca="1" si="84"/>
        <v>#VALUE!</v>
      </c>
    </row>
    <row r="1406" spans="57:59" x14ac:dyDescent="0.2">
      <c r="BE1406" s="19">
        <f t="shared" si="85"/>
        <v>1.1402777777777968</v>
      </c>
      <c r="BF1406" t="e">
        <f t="shared" ca="1" si="83"/>
        <v>#VALUE!</v>
      </c>
      <c r="BG1406" t="e">
        <f t="shared" ca="1" si="84"/>
        <v>#VALUE!</v>
      </c>
    </row>
    <row r="1407" spans="57:59" x14ac:dyDescent="0.2">
      <c r="BE1407" s="19">
        <f t="shared" si="85"/>
        <v>1.1409722222222414</v>
      </c>
      <c r="BF1407" t="e">
        <f t="shared" ca="1" si="83"/>
        <v>#VALUE!</v>
      </c>
      <c r="BG1407" t="e">
        <f t="shared" ca="1" si="84"/>
        <v>#VALUE!</v>
      </c>
    </row>
    <row r="1408" spans="57:59" x14ac:dyDescent="0.2">
      <c r="BE1408" s="19">
        <f t="shared" si="85"/>
        <v>1.1416666666666859</v>
      </c>
      <c r="BF1408" t="e">
        <f t="shared" ca="1" si="83"/>
        <v>#VALUE!</v>
      </c>
      <c r="BG1408" t="e">
        <f t="shared" ca="1" si="84"/>
        <v>#VALUE!</v>
      </c>
    </row>
    <row r="1409" spans="57:59" x14ac:dyDescent="0.2">
      <c r="BE1409" s="19">
        <f t="shared" si="85"/>
        <v>1.1423611111111305</v>
      </c>
      <c r="BF1409" t="e">
        <f t="shared" ca="1" si="83"/>
        <v>#VALUE!</v>
      </c>
      <c r="BG1409" t="e">
        <f t="shared" ca="1" si="84"/>
        <v>#VALUE!</v>
      </c>
    </row>
    <row r="1410" spans="57:59" x14ac:dyDescent="0.2">
      <c r="BE1410" s="19">
        <f t="shared" si="85"/>
        <v>1.143055555555575</v>
      </c>
      <c r="BF1410" t="e">
        <f t="shared" ca="1" si="83"/>
        <v>#VALUE!</v>
      </c>
      <c r="BG1410" t="e">
        <f t="shared" ca="1" si="84"/>
        <v>#VALUE!</v>
      </c>
    </row>
    <row r="1411" spans="57:59" x14ac:dyDescent="0.2">
      <c r="BE1411" s="19">
        <f t="shared" si="85"/>
        <v>1.1437500000000196</v>
      </c>
      <c r="BF1411" t="e">
        <f t="shared" ca="1" si="83"/>
        <v>#VALUE!</v>
      </c>
      <c r="BG1411" t="e">
        <f t="shared" ca="1" si="84"/>
        <v>#VALUE!</v>
      </c>
    </row>
    <row r="1412" spans="57:59" x14ac:dyDescent="0.2">
      <c r="BE1412" s="19">
        <f t="shared" si="85"/>
        <v>1.1444444444444641</v>
      </c>
      <c r="BF1412" t="e">
        <f t="shared" ref="BF1412:BF1443" ca="1" si="86">IF(BG1412=0,AVERAGE(OFFSET(BH1412,0,0,1,$A$1-1)),AVERAGE(BG1412,OFFSET(BH1412,0,0,1,$A$1-1)))</f>
        <v>#VALUE!</v>
      </c>
      <c r="BG1412" t="e">
        <f t="shared" ca="1" si="84"/>
        <v>#VALUE!</v>
      </c>
    </row>
    <row r="1413" spans="57:59" x14ac:dyDescent="0.2">
      <c r="BE1413" s="19">
        <f t="shared" si="85"/>
        <v>1.1451388888889087</v>
      </c>
      <c r="BF1413" t="e">
        <f t="shared" ca="1" si="86"/>
        <v>#VALUE!</v>
      </c>
      <c r="BG1413" t="e">
        <f t="shared" ref="BG1413:BG1443" ca="1" si="87">IF(BE1413&lt;$B$5-1/1440,0,OFFSET($AA$4,(BE1413-$B$4)*1440,0,1,1))</f>
        <v>#VALUE!</v>
      </c>
    </row>
    <row r="1414" spans="57:59" x14ac:dyDescent="0.2">
      <c r="BE1414" s="19">
        <f t="shared" ref="BE1414:BE1443" si="88">BE1413+1/1440</f>
        <v>1.1458333333333532</v>
      </c>
      <c r="BF1414" t="e">
        <f t="shared" ca="1" si="86"/>
        <v>#VALUE!</v>
      </c>
      <c r="BG1414" t="e">
        <f t="shared" ca="1" si="87"/>
        <v>#VALUE!</v>
      </c>
    </row>
    <row r="1415" spans="57:59" x14ac:dyDescent="0.2">
      <c r="BE1415" s="19">
        <f t="shared" si="88"/>
        <v>1.1465277777777978</v>
      </c>
      <c r="BF1415" t="e">
        <f t="shared" ca="1" si="86"/>
        <v>#VALUE!</v>
      </c>
      <c r="BG1415" t="e">
        <f t="shared" ca="1" si="87"/>
        <v>#VALUE!</v>
      </c>
    </row>
    <row r="1416" spans="57:59" x14ac:dyDescent="0.2">
      <c r="BE1416" s="19">
        <f t="shared" si="88"/>
        <v>1.1472222222222423</v>
      </c>
      <c r="BF1416" t="e">
        <f t="shared" ca="1" si="86"/>
        <v>#VALUE!</v>
      </c>
      <c r="BG1416" t="e">
        <f t="shared" ca="1" si="87"/>
        <v>#VALUE!</v>
      </c>
    </row>
    <row r="1417" spans="57:59" x14ac:dyDescent="0.2">
      <c r="BE1417" s="19">
        <f t="shared" si="88"/>
        <v>1.1479166666666869</v>
      </c>
      <c r="BF1417" t="e">
        <f t="shared" ca="1" si="86"/>
        <v>#VALUE!</v>
      </c>
      <c r="BG1417" t="e">
        <f t="shared" ca="1" si="87"/>
        <v>#VALUE!</v>
      </c>
    </row>
    <row r="1418" spans="57:59" x14ac:dyDescent="0.2">
      <c r="BE1418" s="19">
        <f t="shared" si="88"/>
        <v>1.1486111111111315</v>
      </c>
      <c r="BF1418" t="e">
        <f t="shared" ca="1" si="86"/>
        <v>#VALUE!</v>
      </c>
      <c r="BG1418" t="e">
        <f t="shared" ca="1" si="87"/>
        <v>#VALUE!</v>
      </c>
    </row>
    <row r="1419" spans="57:59" x14ac:dyDescent="0.2">
      <c r="BE1419" s="19">
        <f t="shared" si="88"/>
        <v>1.149305555555576</v>
      </c>
      <c r="BF1419" t="e">
        <f t="shared" ca="1" si="86"/>
        <v>#VALUE!</v>
      </c>
      <c r="BG1419" t="e">
        <f t="shared" ca="1" si="87"/>
        <v>#VALUE!</v>
      </c>
    </row>
    <row r="1420" spans="57:59" x14ac:dyDescent="0.2">
      <c r="BE1420" s="19">
        <f t="shared" si="88"/>
        <v>1.1500000000000206</v>
      </c>
      <c r="BF1420" t="e">
        <f t="shared" ca="1" si="86"/>
        <v>#VALUE!</v>
      </c>
      <c r="BG1420" t="e">
        <f t="shared" ca="1" si="87"/>
        <v>#VALUE!</v>
      </c>
    </row>
    <row r="1421" spans="57:59" x14ac:dyDescent="0.2">
      <c r="BE1421" s="19">
        <f t="shared" si="88"/>
        <v>1.1506944444444651</v>
      </c>
      <c r="BF1421" t="e">
        <f t="shared" ca="1" si="86"/>
        <v>#VALUE!</v>
      </c>
      <c r="BG1421" t="e">
        <f t="shared" ca="1" si="87"/>
        <v>#VALUE!</v>
      </c>
    </row>
    <row r="1422" spans="57:59" x14ac:dyDescent="0.2">
      <c r="BE1422" s="19">
        <f t="shared" si="88"/>
        <v>1.1513888888889097</v>
      </c>
      <c r="BF1422" t="e">
        <f t="shared" ca="1" si="86"/>
        <v>#VALUE!</v>
      </c>
      <c r="BG1422" t="e">
        <f t="shared" ca="1" si="87"/>
        <v>#VALUE!</v>
      </c>
    </row>
    <row r="1423" spans="57:59" x14ac:dyDescent="0.2">
      <c r="BE1423" s="19">
        <f t="shared" si="88"/>
        <v>1.1520833333333542</v>
      </c>
      <c r="BF1423" t="e">
        <f t="shared" ca="1" si="86"/>
        <v>#VALUE!</v>
      </c>
      <c r="BG1423" t="e">
        <f t="shared" ca="1" si="87"/>
        <v>#VALUE!</v>
      </c>
    </row>
    <row r="1424" spans="57:59" x14ac:dyDescent="0.2">
      <c r="BE1424" s="19">
        <f t="shared" si="88"/>
        <v>1.1527777777777988</v>
      </c>
      <c r="BF1424" t="e">
        <f t="shared" ca="1" si="86"/>
        <v>#VALUE!</v>
      </c>
      <c r="BG1424" t="e">
        <f t="shared" ca="1" si="87"/>
        <v>#VALUE!</v>
      </c>
    </row>
    <row r="1425" spans="57:59" x14ac:dyDescent="0.2">
      <c r="BE1425" s="19">
        <f t="shared" si="88"/>
        <v>1.1534722222222433</v>
      </c>
      <c r="BF1425" t="e">
        <f t="shared" ca="1" si="86"/>
        <v>#VALUE!</v>
      </c>
      <c r="BG1425" t="e">
        <f t="shared" ca="1" si="87"/>
        <v>#VALUE!</v>
      </c>
    </row>
    <row r="1426" spans="57:59" x14ac:dyDescent="0.2">
      <c r="BE1426" s="19">
        <f t="shared" si="88"/>
        <v>1.1541666666666879</v>
      </c>
      <c r="BF1426" t="e">
        <f t="shared" ca="1" si="86"/>
        <v>#VALUE!</v>
      </c>
      <c r="BG1426" t="e">
        <f t="shared" ca="1" si="87"/>
        <v>#VALUE!</v>
      </c>
    </row>
    <row r="1427" spans="57:59" x14ac:dyDescent="0.2">
      <c r="BE1427" s="19">
        <f t="shared" si="88"/>
        <v>1.1548611111111324</v>
      </c>
      <c r="BF1427" t="e">
        <f t="shared" ca="1" si="86"/>
        <v>#VALUE!</v>
      </c>
      <c r="BG1427" t="e">
        <f t="shared" ca="1" si="87"/>
        <v>#VALUE!</v>
      </c>
    </row>
    <row r="1428" spans="57:59" x14ac:dyDescent="0.2">
      <c r="BE1428" s="19">
        <f t="shared" si="88"/>
        <v>1.155555555555577</v>
      </c>
      <c r="BF1428" t="e">
        <f t="shared" ca="1" si="86"/>
        <v>#VALUE!</v>
      </c>
      <c r="BG1428" t="e">
        <f t="shared" ca="1" si="87"/>
        <v>#VALUE!</v>
      </c>
    </row>
    <row r="1429" spans="57:59" x14ac:dyDescent="0.2">
      <c r="BE1429" s="19">
        <f t="shared" si="88"/>
        <v>1.1562500000000215</v>
      </c>
      <c r="BF1429" t="e">
        <f t="shared" ca="1" si="86"/>
        <v>#VALUE!</v>
      </c>
      <c r="BG1429" t="e">
        <f t="shared" ca="1" si="87"/>
        <v>#VALUE!</v>
      </c>
    </row>
    <row r="1430" spans="57:59" x14ac:dyDescent="0.2">
      <c r="BE1430" s="19">
        <f t="shared" si="88"/>
        <v>1.1569444444444661</v>
      </c>
      <c r="BF1430" t="e">
        <f t="shared" ca="1" si="86"/>
        <v>#VALUE!</v>
      </c>
      <c r="BG1430" t="e">
        <f t="shared" ca="1" si="87"/>
        <v>#VALUE!</v>
      </c>
    </row>
    <row r="1431" spans="57:59" x14ac:dyDescent="0.2">
      <c r="BE1431" s="19">
        <f t="shared" si="88"/>
        <v>1.1576388888889106</v>
      </c>
      <c r="BF1431" t="e">
        <f t="shared" ca="1" si="86"/>
        <v>#VALUE!</v>
      </c>
      <c r="BG1431" t="e">
        <f t="shared" ca="1" si="87"/>
        <v>#VALUE!</v>
      </c>
    </row>
    <row r="1432" spans="57:59" x14ac:dyDescent="0.2">
      <c r="BE1432" s="19">
        <f t="shared" si="88"/>
        <v>1.1583333333333552</v>
      </c>
      <c r="BF1432" t="e">
        <f t="shared" ca="1" si="86"/>
        <v>#VALUE!</v>
      </c>
      <c r="BG1432" t="e">
        <f t="shared" ca="1" si="87"/>
        <v>#VALUE!</v>
      </c>
    </row>
    <row r="1433" spans="57:59" x14ac:dyDescent="0.2">
      <c r="BE1433" s="19">
        <f t="shared" si="88"/>
        <v>1.1590277777777998</v>
      </c>
      <c r="BF1433" t="e">
        <f t="shared" ca="1" si="86"/>
        <v>#VALUE!</v>
      </c>
      <c r="BG1433" t="e">
        <f t="shared" ca="1" si="87"/>
        <v>#VALUE!</v>
      </c>
    </row>
    <row r="1434" spans="57:59" x14ac:dyDescent="0.2">
      <c r="BE1434" s="19">
        <f t="shared" si="88"/>
        <v>1.1597222222222443</v>
      </c>
      <c r="BF1434" t="e">
        <f t="shared" ca="1" si="86"/>
        <v>#VALUE!</v>
      </c>
      <c r="BG1434" t="e">
        <f t="shared" ca="1" si="87"/>
        <v>#VALUE!</v>
      </c>
    </row>
    <row r="1435" spans="57:59" x14ac:dyDescent="0.2">
      <c r="BE1435" s="19">
        <f t="shared" si="88"/>
        <v>1.1604166666666889</v>
      </c>
      <c r="BF1435" t="e">
        <f t="shared" ca="1" si="86"/>
        <v>#VALUE!</v>
      </c>
      <c r="BG1435" t="e">
        <f t="shared" ca="1" si="87"/>
        <v>#VALUE!</v>
      </c>
    </row>
    <row r="1436" spans="57:59" x14ac:dyDescent="0.2">
      <c r="BE1436" s="19">
        <f t="shared" si="88"/>
        <v>1.1611111111111334</v>
      </c>
      <c r="BF1436" t="e">
        <f t="shared" ca="1" si="86"/>
        <v>#VALUE!</v>
      </c>
      <c r="BG1436" t="e">
        <f t="shared" ca="1" si="87"/>
        <v>#VALUE!</v>
      </c>
    </row>
    <row r="1437" spans="57:59" x14ac:dyDescent="0.2">
      <c r="BE1437" s="19">
        <f t="shared" si="88"/>
        <v>1.161805555555578</v>
      </c>
      <c r="BF1437" t="e">
        <f t="shared" ca="1" si="86"/>
        <v>#VALUE!</v>
      </c>
      <c r="BG1437" t="e">
        <f t="shared" ca="1" si="87"/>
        <v>#VALUE!</v>
      </c>
    </row>
    <row r="1438" spans="57:59" x14ac:dyDescent="0.2">
      <c r="BE1438" s="19">
        <f t="shared" si="88"/>
        <v>1.1625000000000225</v>
      </c>
      <c r="BF1438" t="e">
        <f t="shared" ca="1" si="86"/>
        <v>#VALUE!</v>
      </c>
      <c r="BG1438" t="e">
        <f t="shared" ca="1" si="87"/>
        <v>#VALUE!</v>
      </c>
    </row>
    <row r="1439" spans="57:59" x14ac:dyDescent="0.2">
      <c r="BE1439" s="19">
        <f t="shared" si="88"/>
        <v>1.1631944444444671</v>
      </c>
      <c r="BF1439" t="e">
        <f t="shared" ca="1" si="86"/>
        <v>#VALUE!</v>
      </c>
      <c r="BG1439" t="e">
        <f t="shared" ca="1" si="87"/>
        <v>#VALUE!</v>
      </c>
    </row>
    <row r="1440" spans="57:59" x14ac:dyDescent="0.2">
      <c r="BE1440" s="19">
        <f t="shared" si="88"/>
        <v>1.1638888888889116</v>
      </c>
      <c r="BF1440" t="e">
        <f t="shared" ca="1" si="86"/>
        <v>#VALUE!</v>
      </c>
      <c r="BG1440" t="e">
        <f t="shared" ca="1" si="87"/>
        <v>#VALUE!</v>
      </c>
    </row>
    <row r="1441" spans="54:59" x14ac:dyDescent="0.2">
      <c r="BE1441" s="19">
        <f t="shared" si="88"/>
        <v>1.1645833333333562</v>
      </c>
      <c r="BF1441" t="e">
        <f t="shared" ca="1" si="86"/>
        <v>#VALUE!</v>
      </c>
      <c r="BG1441" t="e">
        <f t="shared" ca="1" si="87"/>
        <v>#VALUE!</v>
      </c>
    </row>
    <row r="1442" spans="54:59" x14ac:dyDescent="0.2">
      <c r="BE1442" s="19">
        <f t="shared" si="88"/>
        <v>1.1652777777778007</v>
      </c>
      <c r="BF1442" t="e">
        <f t="shared" ca="1" si="86"/>
        <v>#VALUE!</v>
      </c>
      <c r="BG1442" t="e">
        <f t="shared" ca="1" si="87"/>
        <v>#VALUE!</v>
      </c>
    </row>
    <row r="1443" spans="54:59" x14ac:dyDescent="0.2">
      <c r="BE1443" s="19">
        <f t="shared" si="88"/>
        <v>1.1659722222222453</v>
      </c>
      <c r="BF1443" t="e">
        <f t="shared" ca="1" si="86"/>
        <v>#VALUE!</v>
      </c>
      <c r="BG1443" t="e">
        <f t="shared" ca="1" si="87"/>
        <v>#VALUE!</v>
      </c>
    </row>
    <row r="1444" spans="54:59" x14ac:dyDescent="0.2">
      <c r="BB1444" s="69" t="s">
        <v>83</v>
      </c>
      <c r="BD1444" s="69" t="s">
        <v>92</v>
      </c>
      <c r="BE1444" t="s">
        <v>82</v>
      </c>
      <c r="BF1444" s="69" t="s">
        <v>94</v>
      </c>
      <c r="BG1444" s="69" t="s">
        <v>93</v>
      </c>
    </row>
    <row r="1445" spans="54:59" x14ac:dyDescent="0.2">
      <c r="BB1445" t="e">
        <f ca="1">IF(BG1445=0,"Sleep",IF(BG1445=1,"sedentary",IF(BG1445=2,"light",IF(BG1445=3,"moderate",IF(BG1445=4,"vigorous")))))</f>
        <v>#NUM!</v>
      </c>
      <c r="BC1445">
        <v>0</v>
      </c>
      <c r="BD1445" t="e">
        <f t="shared" ref="BD1445:BD1476" ca="1" si="89">AVERAGE(OFFSET($BF$4,BC1445*15,0,15,1))</f>
        <v>#VALUE!</v>
      </c>
      <c r="BE1445" s="11" t="e">
        <f ca="1">IF(BD1445&gt;'Front Page'!$C$38,"vigorous",IF(BD1445&gt;'Front Page'!$C$37,"moderate",IF(BD1445&gt;'Front Page'!$C$36,"light","sedentary")))</f>
        <v>#VALUE!</v>
      </c>
      <c r="BF1445" s="86" t="e">
        <f>MEDIAN(BH1445:BU1445)</f>
        <v>#NUM!</v>
      </c>
      <c r="BG1445" t="e">
        <f ca="1">ROUNDDOWN(MEDIAN(OFFSET($BF$1445,BC1445*15,0,15,1)),0)</f>
        <v>#NUM!</v>
      </c>
    </row>
    <row r="1446" spans="54:59" x14ac:dyDescent="0.2">
      <c r="BB1446" t="e">
        <f t="shared" ref="BB1446:BB1509" ca="1" si="90">IF(BG1446=0,"Sleep",IF(BG1446=1,"sedentary",IF(BG1446=2,"light",IF(BG1446=3,"moderate",IF(BG1446=4,"vigorous")))))</f>
        <v>#NUM!</v>
      </c>
      <c r="BC1446">
        <v>1</v>
      </c>
      <c r="BD1446" t="e">
        <f t="shared" ca="1" si="89"/>
        <v>#VALUE!</v>
      </c>
      <c r="BE1446" s="11" t="e">
        <f ca="1">IF(BD1446&gt;'Front Page'!$C$38,"vigorous",IF(BD1446&gt;'Front Page'!$C$37,"moderate",IF(BD1446&gt;'Front Page'!$C$36,"light","sedentary")))</f>
        <v>#VALUE!</v>
      </c>
      <c r="BF1446" s="86" t="e">
        <f t="shared" ref="BF1446:BF1509" si="91">MEDIAN(BH1446:BU1446)</f>
        <v>#NUM!</v>
      </c>
      <c r="BG1446" t="e">
        <f t="shared" ref="BG1446:BG1509" ca="1" si="92">ROUNDDOWN(MEDIAN(OFFSET($BF$1445,BC1446*15,0,15,1)),0)</f>
        <v>#NUM!</v>
      </c>
    </row>
    <row r="1447" spans="54:59" x14ac:dyDescent="0.2">
      <c r="BB1447" t="e">
        <f t="shared" ca="1" si="90"/>
        <v>#NUM!</v>
      </c>
      <c r="BC1447">
        <v>2</v>
      </c>
      <c r="BD1447" t="e">
        <f t="shared" ca="1" si="89"/>
        <v>#VALUE!</v>
      </c>
      <c r="BE1447" s="11" t="e">
        <f ca="1">IF(BD1447&gt;'Front Page'!$C$38,"vigorous",IF(BD1447&gt;'Front Page'!$C$37,"moderate",IF(BD1447&gt;'Front Page'!$C$36,"light","sedentary")))</f>
        <v>#VALUE!</v>
      </c>
      <c r="BF1447" s="86" t="e">
        <f t="shared" si="91"/>
        <v>#NUM!</v>
      </c>
      <c r="BG1447" t="e">
        <f t="shared" ca="1" si="92"/>
        <v>#NUM!</v>
      </c>
    </row>
    <row r="1448" spans="54:59" x14ac:dyDescent="0.2">
      <c r="BB1448" t="e">
        <f t="shared" ca="1" si="90"/>
        <v>#NUM!</v>
      </c>
      <c r="BC1448">
        <v>3</v>
      </c>
      <c r="BD1448" t="e">
        <f t="shared" ca="1" si="89"/>
        <v>#VALUE!</v>
      </c>
      <c r="BE1448" s="11" t="e">
        <f ca="1">IF(BD1448&gt;'Front Page'!$C$38,"vigorous",IF(BD1448&gt;'Front Page'!$C$37,"moderate",IF(BD1448&gt;'Front Page'!$C$36,"light","sedentary")))</f>
        <v>#VALUE!</v>
      </c>
      <c r="BF1448" s="86" t="e">
        <f t="shared" si="91"/>
        <v>#NUM!</v>
      </c>
      <c r="BG1448" t="e">
        <f t="shared" ca="1" si="92"/>
        <v>#NUM!</v>
      </c>
    </row>
    <row r="1449" spans="54:59" x14ac:dyDescent="0.2">
      <c r="BB1449" t="e">
        <f t="shared" ca="1" si="90"/>
        <v>#NUM!</v>
      </c>
      <c r="BC1449">
        <v>4</v>
      </c>
      <c r="BD1449" t="e">
        <f t="shared" ca="1" si="89"/>
        <v>#VALUE!</v>
      </c>
      <c r="BE1449" s="11" t="e">
        <f ca="1">IF(BD1449&gt;'Front Page'!$C$38,"vigorous",IF(BD1449&gt;'Front Page'!$C$37,"moderate",IF(BD1449&gt;'Front Page'!$C$36,"light","sedentary")))</f>
        <v>#VALUE!</v>
      </c>
      <c r="BF1449" s="86" t="e">
        <f t="shared" si="91"/>
        <v>#NUM!</v>
      </c>
      <c r="BG1449" t="e">
        <f t="shared" ca="1" si="92"/>
        <v>#NUM!</v>
      </c>
    </row>
    <row r="1450" spans="54:59" x14ac:dyDescent="0.2">
      <c r="BB1450" t="e">
        <f t="shared" ca="1" si="90"/>
        <v>#NUM!</v>
      </c>
      <c r="BC1450">
        <v>5</v>
      </c>
      <c r="BD1450" t="e">
        <f t="shared" ca="1" si="89"/>
        <v>#VALUE!</v>
      </c>
      <c r="BE1450" s="11" t="e">
        <f ca="1">IF(BD1450&gt;'Front Page'!$C$38,"vigorous",IF(BD1450&gt;'Front Page'!$C$37,"moderate",IF(BD1450&gt;'Front Page'!$C$36,"light","sedentary")))</f>
        <v>#VALUE!</v>
      </c>
      <c r="BF1450" s="86" t="e">
        <f t="shared" si="91"/>
        <v>#NUM!</v>
      </c>
      <c r="BG1450" t="e">
        <f t="shared" ca="1" si="92"/>
        <v>#NUM!</v>
      </c>
    </row>
    <row r="1451" spans="54:59" x14ac:dyDescent="0.2">
      <c r="BB1451" t="e">
        <f t="shared" ca="1" si="90"/>
        <v>#NUM!</v>
      </c>
      <c r="BC1451">
        <v>6</v>
      </c>
      <c r="BD1451" t="e">
        <f t="shared" ca="1" si="89"/>
        <v>#VALUE!</v>
      </c>
      <c r="BE1451" s="11" t="e">
        <f ca="1">IF(BD1451&gt;'Front Page'!$C$38,"vigorous",IF(BD1451&gt;'Front Page'!$C$37,"moderate",IF(BD1451&gt;'Front Page'!$C$36,"light","sedentary")))</f>
        <v>#VALUE!</v>
      </c>
      <c r="BF1451" s="86" t="e">
        <f t="shared" si="91"/>
        <v>#NUM!</v>
      </c>
      <c r="BG1451" t="e">
        <f t="shared" ca="1" si="92"/>
        <v>#NUM!</v>
      </c>
    </row>
    <row r="1452" spans="54:59" x14ac:dyDescent="0.2">
      <c r="BB1452" t="e">
        <f t="shared" ca="1" si="90"/>
        <v>#NUM!</v>
      </c>
      <c r="BC1452">
        <v>7</v>
      </c>
      <c r="BD1452" t="e">
        <f t="shared" ca="1" si="89"/>
        <v>#VALUE!</v>
      </c>
      <c r="BE1452" s="11" t="e">
        <f ca="1">IF(BD1452&gt;'Front Page'!$C$38,"vigorous",IF(BD1452&gt;'Front Page'!$C$37,"moderate",IF(BD1452&gt;'Front Page'!$C$36,"light","sedentary")))</f>
        <v>#VALUE!</v>
      </c>
      <c r="BF1452" s="86" t="e">
        <f t="shared" si="91"/>
        <v>#NUM!</v>
      </c>
      <c r="BG1452" t="e">
        <f t="shared" ca="1" si="92"/>
        <v>#NUM!</v>
      </c>
    </row>
    <row r="1453" spans="54:59" x14ac:dyDescent="0.2">
      <c r="BB1453" t="e">
        <f t="shared" ca="1" si="90"/>
        <v>#NUM!</v>
      </c>
      <c r="BC1453">
        <v>8</v>
      </c>
      <c r="BD1453" t="e">
        <f t="shared" ca="1" si="89"/>
        <v>#VALUE!</v>
      </c>
      <c r="BE1453" s="11" t="e">
        <f ca="1">IF(BD1453&gt;'Front Page'!$C$38,"vigorous",IF(BD1453&gt;'Front Page'!$C$37,"moderate",IF(BD1453&gt;'Front Page'!$C$36,"light","sedentary")))</f>
        <v>#VALUE!</v>
      </c>
      <c r="BF1453" s="86" t="e">
        <f t="shared" si="91"/>
        <v>#NUM!</v>
      </c>
      <c r="BG1453" t="e">
        <f t="shared" ca="1" si="92"/>
        <v>#NUM!</v>
      </c>
    </row>
    <row r="1454" spans="54:59" x14ac:dyDescent="0.2">
      <c r="BB1454" t="e">
        <f t="shared" ca="1" si="90"/>
        <v>#NUM!</v>
      </c>
      <c r="BC1454">
        <v>9</v>
      </c>
      <c r="BD1454" t="e">
        <f t="shared" ca="1" si="89"/>
        <v>#VALUE!</v>
      </c>
      <c r="BE1454" s="11" t="e">
        <f ca="1">IF(BD1454&gt;'Front Page'!$C$38,"vigorous",IF(BD1454&gt;'Front Page'!$C$37,"moderate",IF(BD1454&gt;'Front Page'!$C$36,"light","sedentary")))</f>
        <v>#VALUE!</v>
      </c>
      <c r="BF1454" s="86" t="e">
        <f t="shared" si="91"/>
        <v>#NUM!</v>
      </c>
      <c r="BG1454" t="e">
        <f t="shared" ca="1" si="92"/>
        <v>#NUM!</v>
      </c>
    </row>
    <row r="1455" spans="54:59" x14ac:dyDescent="0.2">
      <c r="BB1455" t="e">
        <f t="shared" ca="1" si="90"/>
        <v>#NUM!</v>
      </c>
      <c r="BC1455">
        <v>10</v>
      </c>
      <c r="BD1455" t="e">
        <f t="shared" ca="1" si="89"/>
        <v>#VALUE!</v>
      </c>
      <c r="BE1455" s="11" t="e">
        <f ca="1">IF(BD1455&gt;'Front Page'!$C$38,"vigorous",IF(BD1455&gt;'Front Page'!$C$37,"moderate",IF(BD1455&gt;'Front Page'!$C$36,"light","sedentary")))</f>
        <v>#VALUE!</v>
      </c>
      <c r="BF1455" s="86" t="e">
        <f t="shared" si="91"/>
        <v>#NUM!</v>
      </c>
      <c r="BG1455" t="e">
        <f t="shared" ca="1" si="92"/>
        <v>#NUM!</v>
      </c>
    </row>
    <row r="1456" spans="54:59" x14ac:dyDescent="0.2">
      <c r="BB1456" t="e">
        <f t="shared" ca="1" si="90"/>
        <v>#NUM!</v>
      </c>
      <c r="BC1456">
        <v>11</v>
      </c>
      <c r="BD1456" t="e">
        <f t="shared" ca="1" si="89"/>
        <v>#VALUE!</v>
      </c>
      <c r="BE1456" s="11" t="e">
        <f ca="1">IF(BD1456&gt;'Front Page'!$C$38,"vigorous",IF(BD1456&gt;'Front Page'!$C$37,"moderate",IF(BD1456&gt;'Front Page'!$C$36,"light","sedentary")))</f>
        <v>#VALUE!</v>
      </c>
      <c r="BF1456" s="86" t="e">
        <f t="shared" si="91"/>
        <v>#NUM!</v>
      </c>
      <c r="BG1456" t="e">
        <f t="shared" ca="1" si="92"/>
        <v>#NUM!</v>
      </c>
    </row>
    <row r="1457" spans="54:59" x14ac:dyDescent="0.2">
      <c r="BB1457" t="e">
        <f t="shared" ca="1" si="90"/>
        <v>#NUM!</v>
      </c>
      <c r="BC1457">
        <v>12</v>
      </c>
      <c r="BD1457" t="e">
        <f t="shared" ca="1" si="89"/>
        <v>#VALUE!</v>
      </c>
      <c r="BE1457" s="11" t="e">
        <f ca="1">IF(BD1457&gt;'Front Page'!$C$38,"vigorous",IF(BD1457&gt;'Front Page'!$C$37,"moderate",IF(BD1457&gt;'Front Page'!$C$36,"light","sedentary")))</f>
        <v>#VALUE!</v>
      </c>
      <c r="BF1457" s="86" t="e">
        <f t="shared" si="91"/>
        <v>#NUM!</v>
      </c>
      <c r="BG1457" t="e">
        <f t="shared" ca="1" si="92"/>
        <v>#NUM!</v>
      </c>
    </row>
    <row r="1458" spans="54:59" x14ac:dyDescent="0.2">
      <c r="BB1458" t="e">
        <f t="shared" ca="1" si="90"/>
        <v>#NUM!</v>
      </c>
      <c r="BC1458">
        <v>13</v>
      </c>
      <c r="BD1458" t="e">
        <f t="shared" ca="1" si="89"/>
        <v>#VALUE!</v>
      </c>
      <c r="BE1458" s="11" t="e">
        <f ca="1">IF(BD1458&gt;'Front Page'!$C$38,"vigorous",IF(BD1458&gt;'Front Page'!$C$37,"moderate",IF(BD1458&gt;'Front Page'!$C$36,"light","sedentary")))</f>
        <v>#VALUE!</v>
      </c>
      <c r="BF1458" s="86" t="e">
        <f t="shared" si="91"/>
        <v>#NUM!</v>
      </c>
      <c r="BG1458" t="e">
        <f t="shared" ca="1" si="92"/>
        <v>#NUM!</v>
      </c>
    </row>
    <row r="1459" spans="54:59" x14ac:dyDescent="0.2">
      <c r="BB1459" t="e">
        <f t="shared" ca="1" si="90"/>
        <v>#NUM!</v>
      </c>
      <c r="BC1459">
        <v>14</v>
      </c>
      <c r="BD1459" t="e">
        <f t="shared" ca="1" si="89"/>
        <v>#VALUE!</v>
      </c>
      <c r="BE1459" s="11" t="e">
        <f ca="1">IF(BD1459&gt;'Front Page'!$C$38,"vigorous",IF(BD1459&gt;'Front Page'!$C$37,"moderate",IF(BD1459&gt;'Front Page'!$C$36,"light","sedentary")))</f>
        <v>#VALUE!</v>
      </c>
      <c r="BF1459" s="86" t="e">
        <f t="shared" si="91"/>
        <v>#NUM!</v>
      </c>
      <c r="BG1459" t="e">
        <f t="shared" ca="1" si="92"/>
        <v>#NUM!</v>
      </c>
    </row>
    <row r="1460" spans="54:59" x14ac:dyDescent="0.2">
      <c r="BB1460" t="e">
        <f t="shared" ca="1" si="90"/>
        <v>#NUM!</v>
      </c>
      <c r="BC1460">
        <v>15</v>
      </c>
      <c r="BD1460" t="e">
        <f t="shared" ca="1" si="89"/>
        <v>#VALUE!</v>
      </c>
      <c r="BE1460" s="11" t="e">
        <f ca="1">IF(BD1460&gt;'Front Page'!$C$38,"vigorous",IF(BD1460&gt;'Front Page'!$C$37,"moderate",IF(BD1460&gt;'Front Page'!$C$36,"light","sedentary")))</f>
        <v>#VALUE!</v>
      </c>
      <c r="BF1460" s="86" t="e">
        <f t="shared" si="91"/>
        <v>#NUM!</v>
      </c>
      <c r="BG1460" t="e">
        <f t="shared" ca="1" si="92"/>
        <v>#NUM!</v>
      </c>
    </row>
    <row r="1461" spans="54:59" x14ac:dyDescent="0.2">
      <c r="BB1461" t="e">
        <f t="shared" ca="1" si="90"/>
        <v>#NUM!</v>
      </c>
      <c r="BC1461">
        <v>16</v>
      </c>
      <c r="BD1461" t="e">
        <f t="shared" ca="1" si="89"/>
        <v>#VALUE!</v>
      </c>
      <c r="BE1461" s="11" t="e">
        <f ca="1">IF(BD1461&gt;'Front Page'!$C$38,"vigorous",IF(BD1461&gt;'Front Page'!$C$37,"moderate",IF(BD1461&gt;'Front Page'!$C$36,"light","sedentary")))</f>
        <v>#VALUE!</v>
      </c>
      <c r="BF1461" s="86" t="e">
        <f t="shared" si="91"/>
        <v>#NUM!</v>
      </c>
      <c r="BG1461" t="e">
        <f t="shared" ca="1" si="92"/>
        <v>#NUM!</v>
      </c>
    </row>
    <row r="1462" spans="54:59" x14ac:dyDescent="0.2">
      <c r="BB1462" t="e">
        <f t="shared" ca="1" si="90"/>
        <v>#NUM!</v>
      </c>
      <c r="BC1462">
        <v>17</v>
      </c>
      <c r="BD1462" t="e">
        <f t="shared" ca="1" si="89"/>
        <v>#VALUE!</v>
      </c>
      <c r="BE1462" s="11" t="e">
        <f ca="1">IF(BD1462&gt;'Front Page'!$C$38,"vigorous",IF(BD1462&gt;'Front Page'!$C$37,"moderate",IF(BD1462&gt;'Front Page'!$C$36,"light","sedentary")))</f>
        <v>#VALUE!</v>
      </c>
      <c r="BF1462" s="86" t="e">
        <f t="shared" si="91"/>
        <v>#NUM!</v>
      </c>
      <c r="BG1462" t="e">
        <f t="shared" ca="1" si="92"/>
        <v>#NUM!</v>
      </c>
    </row>
    <row r="1463" spans="54:59" x14ac:dyDescent="0.2">
      <c r="BB1463" t="e">
        <f t="shared" ca="1" si="90"/>
        <v>#NUM!</v>
      </c>
      <c r="BC1463">
        <v>18</v>
      </c>
      <c r="BD1463" t="e">
        <f t="shared" ca="1" si="89"/>
        <v>#VALUE!</v>
      </c>
      <c r="BE1463" s="11" t="e">
        <f ca="1">IF(BD1463&gt;'Front Page'!$C$38,"vigorous",IF(BD1463&gt;'Front Page'!$C$37,"moderate",IF(BD1463&gt;'Front Page'!$C$36,"light","sedentary")))</f>
        <v>#VALUE!</v>
      </c>
      <c r="BF1463" s="86" t="e">
        <f t="shared" si="91"/>
        <v>#NUM!</v>
      </c>
      <c r="BG1463" t="e">
        <f t="shared" ca="1" si="92"/>
        <v>#NUM!</v>
      </c>
    </row>
    <row r="1464" spans="54:59" x14ac:dyDescent="0.2">
      <c r="BB1464" t="e">
        <f t="shared" ca="1" si="90"/>
        <v>#NUM!</v>
      </c>
      <c r="BC1464">
        <v>19</v>
      </c>
      <c r="BD1464" t="e">
        <f t="shared" ca="1" si="89"/>
        <v>#VALUE!</v>
      </c>
      <c r="BE1464" s="11" t="e">
        <f ca="1">IF(BD1464&gt;'Front Page'!$C$38,"vigorous",IF(BD1464&gt;'Front Page'!$C$37,"moderate",IF(BD1464&gt;'Front Page'!$C$36,"light","sedentary")))</f>
        <v>#VALUE!</v>
      </c>
      <c r="BF1464" s="86" t="e">
        <f t="shared" si="91"/>
        <v>#NUM!</v>
      </c>
      <c r="BG1464" t="e">
        <f t="shared" ca="1" si="92"/>
        <v>#NUM!</v>
      </c>
    </row>
    <row r="1465" spans="54:59" x14ac:dyDescent="0.2">
      <c r="BB1465" t="e">
        <f t="shared" ca="1" si="90"/>
        <v>#NUM!</v>
      </c>
      <c r="BC1465">
        <v>20</v>
      </c>
      <c r="BD1465" t="e">
        <f t="shared" ca="1" si="89"/>
        <v>#VALUE!</v>
      </c>
      <c r="BE1465" s="11" t="e">
        <f ca="1">IF(BD1465&gt;'Front Page'!$C$38,"vigorous",IF(BD1465&gt;'Front Page'!$C$37,"moderate",IF(BD1465&gt;'Front Page'!$C$36,"light","sedentary")))</f>
        <v>#VALUE!</v>
      </c>
      <c r="BF1465" s="86" t="e">
        <f t="shared" si="91"/>
        <v>#NUM!</v>
      </c>
      <c r="BG1465" t="e">
        <f t="shared" ca="1" si="92"/>
        <v>#NUM!</v>
      </c>
    </row>
    <row r="1466" spans="54:59" x14ac:dyDescent="0.2">
      <c r="BB1466" t="e">
        <f t="shared" ca="1" si="90"/>
        <v>#NUM!</v>
      </c>
      <c r="BC1466">
        <v>21</v>
      </c>
      <c r="BD1466" t="e">
        <f t="shared" ca="1" si="89"/>
        <v>#VALUE!</v>
      </c>
      <c r="BE1466" s="11" t="e">
        <f ca="1">IF(BD1466&gt;'Front Page'!$C$38,"vigorous",IF(BD1466&gt;'Front Page'!$C$37,"moderate",IF(BD1466&gt;'Front Page'!$C$36,"light","sedentary")))</f>
        <v>#VALUE!</v>
      </c>
      <c r="BF1466" s="86" t="e">
        <f t="shared" si="91"/>
        <v>#NUM!</v>
      </c>
      <c r="BG1466" t="e">
        <f t="shared" ca="1" si="92"/>
        <v>#NUM!</v>
      </c>
    </row>
    <row r="1467" spans="54:59" x14ac:dyDescent="0.2">
      <c r="BB1467" t="e">
        <f t="shared" ca="1" si="90"/>
        <v>#NUM!</v>
      </c>
      <c r="BC1467">
        <v>22</v>
      </c>
      <c r="BD1467" t="e">
        <f t="shared" ca="1" si="89"/>
        <v>#VALUE!</v>
      </c>
      <c r="BE1467" s="11" t="e">
        <f ca="1">IF(BD1467&gt;'Front Page'!$C$38,"vigorous",IF(BD1467&gt;'Front Page'!$C$37,"moderate",IF(BD1467&gt;'Front Page'!$C$36,"light","sedentary")))</f>
        <v>#VALUE!</v>
      </c>
      <c r="BF1467" s="86" t="e">
        <f t="shared" si="91"/>
        <v>#NUM!</v>
      </c>
      <c r="BG1467" t="e">
        <f t="shared" ca="1" si="92"/>
        <v>#NUM!</v>
      </c>
    </row>
    <row r="1468" spans="54:59" x14ac:dyDescent="0.2">
      <c r="BB1468" t="e">
        <f t="shared" ca="1" si="90"/>
        <v>#NUM!</v>
      </c>
      <c r="BC1468">
        <v>23</v>
      </c>
      <c r="BD1468" t="e">
        <f t="shared" ca="1" si="89"/>
        <v>#VALUE!</v>
      </c>
      <c r="BE1468" s="11" t="e">
        <f ca="1">IF(BD1468&gt;'Front Page'!$C$38,"vigorous",IF(BD1468&gt;'Front Page'!$C$37,"moderate",IF(BD1468&gt;'Front Page'!$C$36,"light","sedentary")))</f>
        <v>#VALUE!</v>
      </c>
      <c r="BF1468" s="86" t="e">
        <f t="shared" si="91"/>
        <v>#NUM!</v>
      </c>
      <c r="BG1468" t="e">
        <f t="shared" ca="1" si="92"/>
        <v>#NUM!</v>
      </c>
    </row>
    <row r="1469" spans="54:59" x14ac:dyDescent="0.2">
      <c r="BB1469" t="e">
        <f t="shared" ca="1" si="90"/>
        <v>#NUM!</v>
      </c>
      <c r="BC1469">
        <v>24</v>
      </c>
      <c r="BD1469" t="e">
        <f t="shared" ca="1" si="89"/>
        <v>#VALUE!</v>
      </c>
      <c r="BE1469" s="11" t="e">
        <f ca="1">IF(BD1469&gt;'Front Page'!$C$38,"vigorous",IF(BD1469&gt;'Front Page'!$C$37,"moderate",IF(BD1469&gt;'Front Page'!$C$36,"light","sedentary")))</f>
        <v>#VALUE!</v>
      </c>
      <c r="BF1469" s="86" t="e">
        <f t="shared" si="91"/>
        <v>#NUM!</v>
      </c>
      <c r="BG1469" t="e">
        <f t="shared" ca="1" si="92"/>
        <v>#NUM!</v>
      </c>
    </row>
    <row r="1470" spans="54:59" x14ac:dyDescent="0.2">
      <c r="BB1470" t="e">
        <f t="shared" ca="1" si="90"/>
        <v>#NUM!</v>
      </c>
      <c r="BC1470">
        <v>25</v>
      </c>
      <c r="BD1470" t="e">
        <f t="shared" ca="1" si="89"/>
        <v>#VALUE!</v>
      </c>
      <c r="BE1470" s="11" t="e">
        <f ca="1">IF(BD1470&gt;'Front Page'!$C$38,"vigorous",IF(BD1470&gt;'Front Page'!$C$37,"moderate",IF(BD1470&gt;'Front Page'!$C$36,"light","sedentary")))</f>
        <v>#VALUE!</v>
      </c>
      <c r="BF1470" s="86" t="e">
        <f t="shared" si="91"/>
        <v>#NUM!</v>
      </c>
      <c r="BG1470" t="e">
        <f t="shared" ca="1" si="92"/>
        <v>#NUM!</v>
      </c>
    </row>
    <row r="1471" spans="54:59" x14ac:dyDescent="0.2">
      <c r="BB1471" t="e">
        <f t="shared" ca="1" si="90"/>
        <v>#NUM!</v>
      </c>
      <c r="BC1471">
        <v>26</v>
      </c>
      <c r="BD1471" t="e">
        <f t="shared" ca="1" si="89"/>
        <v>#VALUE!</v>
      </c>
      <c r="BE1471" s="11" t="e">
        <f ca="1">IF(BD1471&gt;'Front Page'!$C$38,"vigorous",IF(BD1471&gt;'Front Page'!$C$37,"moderate",IF(BD1471&gt;'Front Page'!$C$36,"light","sedentary")))</f>
        <v>#VALUE!</v>
      </c>
      <c r="BF1471" s="86" t="e">
        <f t="shared" si="91"/>
        <v>#NUM!</v>
      </c>
      <c r="BG1471" t="e">
        <f t="shared" ca="1" si="92"/>
        <v>#NUM!</v>
      </c>
    </row>
    <row r="1472" spans="54:59" x14ac:dyDescent="0.2">
      <c r="BB1472" t="e">
        <f t="shared" ca="1" si="90"/>
        <v>#NUM!</v>
      </c>
      <c r="BC1472">
        <v>27</v>
      </c>
      <c r="BD1472" t="e">
        <f t="shared" ca="1" si="89"/>
        <v>#VALUE!</v>
      </c>
      <c r="BE1472" s="11" t="e">
        <f ca="1">IF(BD1472&gt;'Front Page'!$C$38,"vigorous",IF(BD1472&gt;'Front Page'!$C$37,"moderate",IF(BD1472&gt;'Front Page'!$C$36,"light","sedentary")))</f>
        <v>#VALUE!</v>
      </c>
      <c r="BF1472" s="86" t="e">
        <f t="shared" si="91"/>
        <v>#NUM!</v>
      </c>
      <c r="BG1472" t="e">
        <f t="shared" ca="1" si="92"/>
        <v>#NUM!</v>
      </c>
    </row>
    <row r="1473" spans="54:59" x14ac:dyDescent="0.2">
      <c r="BB1473" t="e">
        <f t="shared" ca="1" si="90"/>
        <v>#NUM!</v>
      </c>
      <c r="BC1473">
        <v>28</v>
      </c>
      <c r="BD1473" t="e">
        <f t="shared" ca="1" si="89"/>
        <v>#VALUE!</v>
      </c>
      <c r="BE1473" s="11" t="e">
        <f ca="1">IF(BD1473&gt;'Front Page'!$C$38,"vigorous",IF(BD1473&gt;'Front Page'!$C$37,"moderate",IF(BD1473&gt;'Front Page'!$C$36,"light","sedentary")))</f>
        <v>#VALUE!</v>
      </c>
      <c r="BF1473" s="86" t="e">
        <f t="shared" si="91"/>
        <v>#NUM!</v>
      </c>
      <c r="BG1473" t="e">
        <f t="shared" ca="1" si="92"/>
        <v>#NUM!</v>
      </c>
    </row>
    <row r="1474" spans="54:59" x14ac:dyDescent="0.2">
      <c r="BB1474" t="e">
        <f t="shared" ca="1" si="90"/>
        <v>#NUM!</v>
      </c>
      <c r="BC1474">
        <v>29</v>
      </c>
      <c r="BD1474" t="e">
        <f t="shared" ca="1" si="89"/>
        <v>#VALUE!</v>
      </c>
      <c r="BE1474" s="11" t="e">
        <f ca="1">IF(BD1474&gt;'Front Page'!$C$38,"vigorous",IF(BD1474&gt;'Front Page'!$C$37,"moderate",IF(BD1474&gt;'Front Page'!$C$36,"light","sedentary")))</f>
        <v>#VALUE!</v>
      </c>
      <c r="BF1474" s="86" t="e">
        <f t="shared" si="91"/>
        <v>#NUM!</v>
      </c>
      <c r="BG1474" t="e">
        <f t="shared" ca="1" si="92"/>
        <v>#NUM!</v>
      </c>
    </row>
    <row r="1475" spans="54:59" x14ac:dyDescent="0.2">
      <c r="BB1475" t="e">
        <f t="shared" ca="1" si="90"/>
        <v>#NUM!</v>
      </c>
      <c r="BC1475">
        <v>30</v>
      </c>
      <c r="BD1475" t="e">
        <f t="shared" ca="1" si="89"/>
        <v>#VALUE!</v>
      </c>
      <c r="BE1475" s="11" t="e">
        <f ca="1">IF(BD1475&gt;'Front Page'!$C$38,"vigorous",IF(BD1475&gt;'Front Page'!$C$37,"moderate",IF(BD1475&gt;'Front Page'!$C$36,"light","sedentary")))</f>
        <v>#VALUE!</v>
      </c>
      <c r="BF1475" s="86" t="e">
        <f t="shared" si="91"/>
        <v>#NUM!</v>
      </c>
      <c r="BG1475" t="e">
        <f t="shared" ca="1" si="92"/>
        <v>#NUM!</v>
      </c>
    </row>
    <row r="1476" spans="54:59" x14ac:dyDescent="0.2">
      <c r="BB1476" t="e">
        <f t="shared" ca="1" si="90"/>
        <v>#NUM!</v>
      </c>
      <c r="BC1476">
        <v>31</v>
      </c>
      <c r="BD1476" t="e">
        <f t="shared" ca="1" si="89"/>
        <v>#VALUE!</v>
      </c>
      <c r="BE1476" s="11" t="e">
        <f ca="1">IF(BD1476&gt;'Front Page'!$C$38,"vigorous",IF(BD1476&gt;'Front Page'!$C$37,"moderate",IF(BD1476&gt;'Front Page'!$C$36,"light","sedentary")))</f>
        <v>#VALUE!</v>
      </c>
      <c r="BF1476" s="86" t="e">
        <f t="shared" si="91"/>
        <v>#NUM!</v>
      </c>
      <c r="BG1476" t="e">
        <f t="shared" ca="1" si="92"/>
        <v>#NUM!</v>
      </c>
    </row>
    <row r="1477" spans="54:59" x14ac:dyDescent="0.2">
      <c r="BB1477" t="e">
        <f t="shared" ca="1" si="90"/>
        <v>#NUM!</v>
      </c>
      <c r="BC1477">
        <v>32</v>
      </c>
      <c r="BD1477" t="e">
        <f t="shared" ref="BD1477:BD1508" ca="1" si="93">AVERAGE(OFFSET($BF$4,BC1477*15,0,15,1))</f>
        <v>#VALUE!</v>
      </c>
      <c r="BE1477" s="11" t="e">
        <f ca="1">IF(BD1477&gt;'Front Page'!$C$38,"vigorous",IF(BD1477&gt;'Front Page'!$C$37,"moderate",IF(BD1477&gt;'Front Page'!$C$36,"light","sedentary")))</f>
        <v>#VALUE!</v>
      </c>
      <c r="BF1477" s="86" t="e">
        <f t="shared" si="91"/>
        <v>#NUM!</v>
      </c>
      <c r="BG1477" t="e">
        <f t="shared" ca="1" si="92"/>
        <v>#NUM!</v>
      </c>
    </row>
    <row r="1478" spans="54:59" x14ac:dyDescent="0.2">
      <c r="BB1478" t="e">
        <f t="shared" ca="1" si="90"/>
        <v>#NUM!</v>
      </c>
      <c r="BC1478">
        <v>33</v>
      </c>
      <c r="BD1478" t="e">
        <f t="shared" ca="1" si="93"/>
        <v>#VALUE!</v>
      </c>
      <c r="BE1478" s="11" t="e">
        <f ca="1">IF(BD1478&gt;'Front Page'!$C$38,"vigorous",IF(BD1478&gt;'Front Page'!$C$37,"moderate",IF(BD1478&gt;'Front Page'!$C$36,"light","sedentary")))</f>
        <v>#VALUE!</v>
      </c>
      <c r="BF1478" s="86" t="e">
        <f t="shared" si="91"/>
        <v>#NUM!</v>
      </c>
      <c r="BG1478" t="e">
        <f t="shared" ca="1" si="92"/>
        <v>#NUM!</v>
      </c>
    </row>
    <row r="1479" spans="54:59" x14ac:dyDescent="0.2">
      <c r="BB1479" t="e">
        <f t="shared" ca="1" si="90"/>
        <v>#NUM!</v>
      </c>
      <c r="BC1479">
        <v>34</v>
      </c>
      <c r="BD1479" t="e">
        <f t="shared" ca="1" si="93"/>
        <v>#VALUE!</v>
      </c>
      <c r="BE1479" s="11" t="e">
        <f ca="1">IF(BD1479&gt;'Front Page'!$C$38,"vigorous",IF(BD1479&gt;'Front Page'!$C$37,"moderate",IF(BD1479&gt;'Front Page'!$C$36,"light","sedentary")))</f>
        <v>#VALUE!</v>
      </c>
      <c r="BF1479" s="86" t="e">
        <f t="shared" si="91"/>
        <v>#NUM!</v>
      </c>
      <c r="BG1479" t="e">
        <f t="shared" ca="1" si="92"/>
        <v>#NUM!</v>
      </c>
    </row>
    <row r="1480" spans="54:59" x14ac:dyDescent="0.2">
      <c r="BB1480" t="e">
        <f t="shared" ca="1" si="90"/>
        <v>#NUM!</v>
      </c>
      <c r="BC1480">
        <v>35</v>
      </c>
      <c r="BD1480" t="e">
        <f t="shared" ca="1" si="93"/>
        <v>#VALUE!</v>
      </c>
      <c r="BE1480" s="11" t="e">
        <f ca="1">IF(BD1480&gt;'Front Page'!$C$38,"vigorous",IF(BD1480&gt;'Front Page'!$C$37,"moderate",IF(BD1480&gt;'Front Page'!$C$36,"light","sedentary")))</f>
        <v>#VALUE!</v>
      </c>
      <c r="BF1480" s="86" t="e">
        <f t="shared" si="91"/>
        <v>#NUM!</v>
      </c>
      <c r="BG1480" t="e">
        <f t="shared" ca="1" si="92"/>
        <v>#NUM!</v>
      </c>
    </row>
    <row r="1481" spans="54:59" x14ac:dyDescent="0.2">
      <c r="BB1481" t="e">
        <f t="shared" ca="1" si="90"/>
        <v>#NUM!</v>
      </c>
      <c r="BC1481">
        <v>36</v>
      </c>
      <c r="BD1481" t="e">
        <f t="shared" ca="1" si="93"/>
        <v>#VALUE!</v>
      </c>
      <c r="BE1481" s="11" t="e">
        <f ca="1">IF(BD1481&gt;'Front Page'!$C$38,"vigorous",IF(BD1481&gt;'Front Page'!$C$37,"moderate",IF(BD1481&gt;'Front Page'!$C$36,"light","sedentary")))</f>
        <v>#VALUE!</v>
      </c>
      <c r="BF1481" s="86" t="e">
        <f t="shared" si="91"/>
        <v>#NUM!</v>
      </c>
      <c r="BG1481" t="e">
        <f t="shared" ca="1" si="92"/>
        <v>#NUM!</v>
      </c>
    </row>
    <row r="1482" spans="54:59" x14ac:dyDescent="0.2">
      <c r="BB1482" t="e">
        <f t="shared" ca="1" si="90"/>
        <v>#NUM!</v>
      </c>
      <c r="BC1482">
        <v>37</v>
      </c>
      <c r="BD1482" t="e">
        <f t="shared" ca="1" si="93"/>
        <v>#VALUE!</v>
      </c>
      <c r="BE1482" s="11" t="e">
        <f ca="1">IF(BD1482&gt;'Front Page'!$C$38,"vigorous",IF(BD1482&gt;'Front Page'!$C$37,"moderate",IF(BD1482&gt;'Front Page'!$C$36,"light","sedentary")))</f>
        <v>#VALUE!</v>
      </c>
      <c r="BF1482" s="86" t="e">
        <f t="shared" si="91"/>
        <v>#NUM!</v>
      </c>
      <c r="BG1482" t="e">
        <f t="shared" ca="1" si="92"/>
        <v>#NUM!</v>
      </c>
    </row>
    <row r="1483" spans="54:59" x14ac:dyDescent="0.2">
      <c r="BB1483" t="e">
        <f t="shared" ca="1" si="90"/>
        <v>#NUM!</v>
      </c>
      <c r="BC1483">
        <v>38</v>
      </c>
      <c r="BD1483" t="e">
        <f t="shared" ca="1" si="93"/>
        <v>#VALUE!</v>
      </c>
      <c r="BE1483" s="11" t="e">
        <f ca="1">IF(BD1483&gt;'Front Page'!$C$38,"vigorous",IF(BD1483&gt;'Front Page'!$C$37,"moderate",IF(BD1483&gt;'Front Page'!$C$36,"light","sedentary")))</f>
        <v>#VALUE!</v>
      </c>
      <c r="BF1483" s="86" t="e">
        <f t="shared" si="91"/>
        <v>#NUM!</v>
      </c>
      <c r="BG1483" t="e">
        <f t="shared" ca="1" si="92"/>
        <v>#NUM!</v>
      </c>
    </row>
    <row r="1484" spans="54:59" x14ac:dyDescent="0.2">
      <c r="BB1484" t="e">
        <f t="shared" ca="1" si="90"/>
        <v>#NUM!</v>
      </c>
      <c r="BC1484">
        <v>39</v>
      </c>
      <c r="BD1484" t="e">
        <f t="shared" ca="1" si="93"/>
        <v>#VALUE!</v>
      </c>
      <c r="BE1484" s="11" t="e">
        <f ca="1">IF(BD1484&gt;'Front Page'!$C$38,"vigorous",IF(BD1484&gt;'Front Page'!$C$37,"moderate",IF(BD1484&gt;'Front Page'!$C$36,"light","sedentary")))</f>
        <v>#VALUE!</v>
      </c>
      <c r="BF1484" s="86" t="e">
        <f t="shared" si="91"/>
        <v>#NUM!</v>
      </c>
      <c r="BG1484" t="e">
        <f t="shared" ca="1" si="92"/>
        <v>#NUM!</v>
      </c>
    </row>
    <row r="1485" spans="54:59" x14ac:dyDescent="0.2">
      <c r="BB1485" t="e">
        <f t="shared" ca="1" si="90"/>
        <v>#NUM!</v>
      </c>
      <c r="BC1485">
        <v>40</v>
      </c>
      <c r="BD1485" t="e">
        <f t="shared" ca="1" si="93"/>
        <v>#VALUE!</v>
      </c>
      <c r="BE1485" s="11" t="e">
        <f ca="1">IF(BD1485&gt;'Front Page'!$C$38,"vigorous",IF(BD1485&gt;'Front Page'!$C$37,"moderate",IF(BD1485&gt;'Front Page'!$C$36,"light","sedentary")))</f>
        <v>#VALUE!</v>
      </c>
      <c r="BF1485" s="86" t="e">
        <f t="shared" si="91"/>
        <v>#NUM!</v>
      </c>
      <c r="BG1485" t="e">
        <f t="shared" ca="1" si="92"/>
        <v>#NUM!</v>
      </c>
    </row>
    <row r="1486" spans="54:59" x14ac:dyDescent="0.2">
      <c r="BB1486" t="e">
        <f t="shared" ca="1" si="90"/>
        <v>#NUM!</v>
      </c>
      <c r="BC1486">
        <v>41</v>
      </c>
      <c r="BD1486" t="e">
        <f t="shared" ca="1" si="93"/>
        <v>#VALUE!</v>
      </c>
      <c r="BE1486" s="11" t="e">
        <f ca="1">IF(BD1486&gt;'Front Page'!$C$38,"vigorous",IF(BD1486&gt;'Front Page'!$C$37,"moderate",IF(BD1486&gt;'Front Page'!$C$36,"light","sedentary")))</f>
        <v>#VALUE!</v>
      </c>
      <c r="BF1486" s="86" t="e">
        <f t="shared" si="91"/>
        <v>#NUM!</v>
      </c>
      <c r="BG1486" t="e">
        <f t="shared" ca="1" si="92"/>
        <v>#NUM!</v>
      </c>
    </row>
    <row r="1487" spans="54:59" x14ac:dyDescent="0.2">
      <c r="BB1487" t="e">
        <f t="shared" ca="1" si="90"/>
        <v>#NUM!</v>
      </c>
      <c r="BC1487">
        <v>42</v>
      </c>
      <c r="BD1487" t="e">
        <f t="shared" ca="1" si="93"/>
        <v>#VALUE!</v>
      </c>
      <c r="BE1487" s="11" t="e">
        <f ca="1">IF(BD1487&gt;'Front Page'!$C$38,"vigorous",IF(BD1487&gt;'Front Page'!$C$37,"moderate",IF(BD1487&gt;'Front Page'!$C$36,"light","sedentary")))</f>
        <v>#VALUE!</v>
      </c>
      <c r="BF1487" s="86" t="e">
        <f t="shared" si="91"/>
        <v>#NUM!</v>
      </c>
      <c r="BG1487" t="e">
        <f t="shared" ca="1" si="92"/>
        <v>#NUM!</v>
      </c>
    </row>
    <row r="1488" spans="54:59" x14ac:dyDescent="0.2">
      <c r="BB1488" t="e">
        <f t="shared" ca="1" si="90"/>
        <v>#NUM!</v>
      </c>
      <c r="BC1488">
        <v>43</v>
      </c>
      <c r="BD1488" t="e">
        <f t="shared" ca="1" si="93"/>
        <v>#VALUE!</v>
      </c>
      <c r="BE1488" s="11" t="e">
        <f ca="1">IF(BD1488&gt;'Front Page'!$C$38,"vigorous",IF(BD1488&gt;'Front Page'!$C$37,"moderate",IF(BD1488&gt;'Front Page'!$C$36,"light","sedentary")))</f>
        <v>#VALUE!</v>
      </c>
      <c r="BF1488" s="86" t="e">
        <f t="shared" si="91"/>
        <v>#NUM!</v>
      </c>
      <c r="BG1488" t="e">
        <f t="shared" ca="1" si="92"/>
        <v>#NUM!</v>
      </c>
    </row>
    <row r="1489" spans="54:59" x14ac:dyDescent="0.2">
      <c r="BB1489" t="e">
        <f t="shared" ca="1" si="90"/>
        <v>#NUM!</v>
      </c>
      <c r="BC1489">
        <v>44</v>
      </c>
      <c r="BD1489" t="e">
        <f t="shared" ca="1" si="93"/>
        <v>#VALUE!</v>
      </c>
      <c r="BE1489" s="11" t="e">
        <f ca="1">IF(BD1489&gt;'Front Page'!$C$38,"vigorous",IF(BD1489&gt;'Front Page'!$C$37,"moderate",IF(BD1489&gt;'Front Page'!$C$36,"light","sedentary")))</f>
        <v>#VALUE!</v>
      </c>
      <c r="BF1489" s="86" t="e">
        <f t="shared" si="91"/>
        <v>#NUM!</v>
      </c>
      <c r="BG1489" t="e">
        <f t="shared" ca="1" si="92"/>
        <v>#NUM!</v>
      </c>
    </row>
    <row r="1490" spans="54:59" x14ac:dyDescent="0.2">
      <c r="BB1490" t="e">
        <f t="shared" ca="1" si="90"/>
        <v>#NUM!</v>
      </c>
      <c r="BC1490">
        <v>45</v>
      </c>
      <c r="BD1490" t="e">
        <f t="shared" ca="1" si="93"/>
        <v>#VALUE!</v>
      </c>
      <c r="BE1490" s="11" t="e">
        <f ca="1">IF(BD1490&gt;'Front Page'!$C$38,"vigorous",IF(BD1490&gt;'Front Page'!$C$37,"moderate",IF(BD1490&gt;'Front Page'!$C$36,"light","sedentary")))</f>
        <v>#VALUE!</v>
      </c>
      <c r="BF1490" s="86" t="e">
        <f t="shared" si="91"/>
        <v>#NUM!</v>
      </c>
      <c r="BG1490" t="e">
        <f t="shared" ca="1" si="92"/>
        <v>#NUM!</v>
      </c>
    </row>
    <row r="1491" spans="54:59" x14ac:dyDescent="0.2">
      <c r="BB1491" t="e">
        <f t="shared" ca="1" si="90"/>
        <v>#NUM!</v>
      </c>
      <c r="BC1491">
        <v>46</v>
      </c>
      <c r="BD1491" t="e">
        <f t="shared" ca="1" si="93"/>
        <v>#VALUE!</v>
      </c>
      <c r="BE1491" s="11" t="e">
        <f ca="1">IF(BD1491&gt;'Front Page'!$C$38,"vigorous",IF(BD1491&gt;'Front Page'!$C$37,"moderate",IF(BD1491&gt;'Front Page'!$C$36,"light","sedentary")))</f>
        <v>#VALUE!</v>
      </c>
      <c r="BF1491" s="86" t="e">
        <f t="shared" si="91"/>
        <v>#NUM!</v>
      </c>
      <c r="BG1491" t="e">
        <f t="shared" ca="1" si="92"/>
        <v>#NUM!</v>
      </c>
    </row>
    <row r="1492" spans="54:59" x14ac:dyDescent="0.2">
      <c r="BB1492" t="e">
        <f t="shared" ca="1" si="90"/>
        <v>#NUM!</v>
      </c>
      <c r="BC1492">
        <v>47</v>
      </c>
      <c r="BD1492" t="e">
        <f t="shared" ca="1" si="93"/>
        <v>#VALUE!</v>
      </c>
      <c r="BE1492" s="11" t="e">
        <f ca="1">IF(BD1492&gt;'Front Page'!$C$38,"vigorous",IF(BD1492&gt;'Front Page'!$C$37,"moderate",IF(BD1492&gt;'Front Page'!$C$36,"light","sedentary")))</f>
        <v>#VALUE!</v>
      </c>
      <c r="BF1492" s="86" t="e">
        <f t="shared" si="91"/>
        <v>#NUM!</v>
      </c>
      <c r="BG1492" t="e">
        <f t="shared" ca="1" si="92"/>
        <v>#NUM!</v>
      </c>
    </row>
    <row r="1493" spans="54:59" x14ac:dyDescent="0.2">
      <c r="BB1493" t="e">
        <f t="shared" ca="1" si="90"/>
        <v>#NUM!</v>
      </c>
      <c r="BC1493">
        <v>48</v>
      </c>
      <c r="BD1493" t="e">
        <f t="shared" ca="1" si="93"/>
        <v>#VALUE!</v>
      </c>
      <c r="BE1493" s="11" t="e">
        <f ca="1">IF(BD1493&gt;'Front Page'!$C$38,"vigorous",IF(BD1493&gt;'Front Page'!$C$37,"moderate",IF(BD1493&gt;'Front Page'!$C$36,"light","sedentary")))</f>
        <v>#VALUE!</v>
      </c>
      <c r="BF1493" s="86" t="e">
        <f t="shared" si="91"/>
        <v>#NUM!</v>
      </c>
      <c r="BG1493" t="e">
        <f t="shared" ca="1" si="92"/>
        <v>#NUM!</v>
      </c>
    </row>
    <row r="1494" spans="54:59" x14ac:dyDescent="0.2">
      <c r="BB1494" t="e">
        <f t="shared" ca="1" si="90"/>
        <v>#NUM!</v>
      </c>
      <c r="BC1494">
        <v>49</v>
      </c>
      <c r="BD1494" t="e">
        <f t="shared" ca="1" si="93"/>
        <v>#VALUE!</v>
      </c>
      <c r="BE1494" s="11" t="e">
        <f ca="1">IF(BD1494&gt;'Front Page'!$C$38,"vigorous",IF(BD1494&gt;'Front Page'!$C$37,"moderate",IF(BD1494&gt;'Front Page'!$C$36,"light","sedentary")))</f>
        <v>#VALUE!</v>
      </c>
      <c r="BF1494" s="86" t="e">
        <f t="shared" si="91"/>
        <v>#NUM!</v>
      </c>
      <c r="BG1494" t="e">
        <f t="shared" ca="1" si="92"/>
        <v>#NUM!</v>
      </c>
    </row>
    <row r="1495" spans="54:59" x14ac:dyDescent="0.2">
      <c r="BB1495" t="e">
        <f t="shared" ca="1" si="90"/>
        <v>#NUM!</v>
      </c>
      <c r="BC1495">
        <v>50</v>
      </c>
      <c r="BD1495" t="e">
        <f t="shared" ca="1" si="93"/>
        <v>#VALUE!</v>
      </c>
      <c r="BE1495" s="11" t="e">
        <f ca="1">IF(BD1495&gt;'Front Page'!$C$38,"vigorous",IF(BD1495&gt;'Front Page'!$C$37,"moderate",IF(BD1495&gt;'Front Page'!$C$36,"light","sedentary")))</f>
        <v>#VALUE!</v>
      </c>
      <c r="BF1495" s="86" t="e">
        <f t="shared" si="91"/>
        <v>#NUM!</v>
      </c>
      <c r="BG1495" t="e">
        <f t="shared" ca="1" si="92"/>
        <v>#NUM!</v>
      </c>
    </row>
    <row r="1496" spans="54:59" x14ac:dyDescent="0.2">
      <c r="BB1496" t="e">
        <f t="shared" ca="1" si="90"/>
        <v>#NUM!</v>
      </c>
      <c r="BC1496">
        <v>51</v>
      </c>
      <c r="BD1496" t="e">
        <f t="shared" ca="1" si="93"/>
        <v>#VALUE!</v>
      </c>
      <c r="BE1496" s="11" t="e">
        <f ca="1">IF(BD1496&gt;'Front Page'!$C$38,"vigorous",IF(BD1496&gt;'Front Page'!$C$37,"moderate",IF(BD1496&gt;'Front Page'!$C$36,"light","sedentary")))</f>
        <v>#VALUE!</v>
      </c>
      <c r="BF1496" s="86" t="e">
        <f t="shared" si="91"/>
        <v>#NUM!</v>
      </c>
      <c r="BG1496" t="e">
        <f t="shared" ca="1" si="92"/>
        <v>#NUM!</v>
      </c>
    </row>
    <row r="1497" spans="54:59" x14ac:dyDescent="0.2">
      <c r="BB1497" t="e">
        <f t="shared" ca="1" si="90"/>
        <v>#NUM!</v>
      </c>
      <c r="BC1497">
        <v>52</v>
      </c>
      <c r="BD1497" t="e">
        <f t="shared" ca="1" si="93"/>
        <v>#VALUE!</v>
      </c>
      <c r="BE1497" s="11" t="e">
        <f ca="1">IF(BD1497&gt;'Front Page'!$C$38,"vigorous",IF(BD1497&gt;'Front Page'!$C$37,"moderate",IF(BD1497&gt;'Front Page'!$C$36,"light","sedentary")))</f>
        <v>#VALUE!</v>
      </c>
      <c r="BF1497" s="86" t="e">
        <f t="shared" si="91"/>
        <v>#NUM!</v>
      </c>
      <c r="BG1497" t="e">
        <f t="shared" ca="1" si="92"/>
        <v>#NUM!</v>
      </c>
    </row>
    <row r="1498" spans="54:59" x14ac:dyDescent="0.2">
      <c r="BB1498" t="e">
        <f t="shared" ca="1" si="90"/>
        <v>#NUM!</v>
      </c>
      <c r="BC1498">
        <v>53</v>
      </c>
      <c r="BD1498" t="e">
        <f t="shared" ca="1" si="93"/>
        <v>#VALUE!</v>
      </c>
      <c r="BE1498" s="11" t="e">
        <f ca="1">IF(BD1498&gt;'Front Page'!$C$38,"vigorous",IF(BD1498&gt;'Front Page'!$C$37,"moderate",IF(BD1498&gt;'Front Page'!$C$36,"light","sedentary")))</f>
        <v>#VALUE!</v>
      </c>
      <c r="BF1498" s="86" t="e">
        <f t="shared" si="91"/>
        <v>#NUM!</v>
      </c>
      <c r="BG1498" t="e">
        <f t="shared" ca="1" si="92"/>
        <v>#NUM!</v>
      </c>
    </row>
    <row r="1499" spans="54:59" x14ac:dyDescent="0.2">
      <c r="BB1499" t="e">
        <f t="shared" ca="1" si="90"/>
        <v>#NUM!</v>
      </c>
      <c r="BC1499">
        <v>54</v>
      </c>
      <c r="BD1499" t="e">
        <f t="shared" ca="1" si="93"/>
        <v>#VALUE!</v>
      </c>
      <c r="BE1499" s="11" t="e">
        <f ca="1">IF(BD1499&gt;'Front Page'!$C$38,"vigorous",IF(BD1499&gt;'Front Page'!$C$37,"moderate",IF(BD1499&gt;'Front Page'!$C$36,"light","sedentary")))</f>
        <v>#VALUE!</v>
      </c>
      <c r="BF1499" s="86" t="e">
        <f t="shared" si="91"/>
        <v>#NUM!</v>
      </c>
      <c r="BG1499" t="e">
        <f t="shared" ca="1" si="92"/>
        <v>#NUM!</v>
      </c>
    </row>
    <row r="1500" spans="54:59" x14ac:dyDescent="0.2">
      <c r="BB1500" t="e">
        <f t="shared" ca="1" si="90"/>
        <v>#NUM!</v>
      </c>
      <c r="BC1500">
        <v>55</v>
      </c>
      <c r="BD1500" t="e">
        <f t="shared" ca="1" si="93"/>
        <v>#VALUE!</v>
      </c>
      <c r="BE1500" s="11" t="e">
        <f ca="1">IF(BD1500&gt;'Front Page'!$C$38,"vigorous",IF(BD1500&gt;'Front Page'!$C$37,"moderate",IF(BD1500&gt;'Front Page'!$C$36,"light","sedentary")))</f>
        <v>#VALUE!</v>
      </c>
      <c r="BF1500" s="86" t="e">
        <f t="shared" si="91"/>
        <v>#NUM!</v>
      </c>
      <c r="BG1500" t="e">
        <f t="shared" ca="1" si="92"/>
        <v>#NUM!</v>
      </c>
    </row>
    <row r="1501" spans="54:59" x14ac:dyDescent="0.2">
      <c r="BB1501" t="e">
        <f t="shared" ca="1" si="90"/>
        <v>#NUM!</v>
      </c>
      <c r="BC1501">
        <v>56</v>
      </c>
      <c r="BD1501" t="e">
        <f t="shared" ca="1" si="93"/>
        <v>#VALUE!</v>
      </c>
      <c r="BE1501" s="11" t="e">
        <f ca="1">IF(BD1501&gt;'Front Page'!$C$38,"vigorous",IF(BD1501&gt;'Front Page'!$C$37,"moderate",IF(BD1501&gt;'Front Page'!$C$36,"light","sedentary")))</f>
        <v>#VALUE!</v>
      </c>
      <c r="BF1501" s="86" t="e">
        <f t="shared" si="91"/>
        <v>#NUM!</v>
      </c>
      <c r="BG1501" t="e">
        <f t="shared" ca="1" si="92"/>
        <v>#NUM!</v>
      </c>
    </row>
    <row r="1502" spans="54:59" x14ac:dyDescent="0.2">
      <c r="BB1502" t="e">
        <f t="shared" ca="1" si="90"/>
        <v>#NUM!</v>
      </c>
      <c r="BC1502">
        <v>57</v>
      </c>
      <c r="BD1502" t="e">
        <f t="shared" ca="1" si="93"/>
        <v>#VALUE!</v>
      </c>
      <c r="BE1502" s="11" t="e">
        <f ca="1">IF(BD1502&gt;'Front Page'!$C$38,"vigorous",IF(BD1502&gt;'Front Page'!$C$37,"moderate",IF(BD1502&gt;'Front Page'!$C$36,"light","sedentary")))</f>
        <v>#VALUE!</v>
      </c>
      <c r="BF1502" s="86" t="e">
        <f t="shared" si="91"/>
        <v>#NUM!</v>
      </c>
      <c r="BG1502" t="e">
        <f t="shared" ca="1" si="92"/>
        <v>#NUM!</v>
      </c>
    </row>
    <row r="1503" spans="54:59" x14ac:dyDescent="0.2">
      <c r="BB1503" t="e">
        <f t="shared" ca="1" si="90"/>
        <v>#NUM!</v>
      </c>
      <c r="BC1503">
        <v>58</v>
      </c>
      <c r="BD1503" t="e">
        <f t="shared" ca="1" si="93"/>
        <v>#VALUE!</v>
      </c>
      <c r="BE1503" s="11" t="e">
        <f ca="1">IF(BD1503&gt;'Front Page'!$C$38,"vigorous",IF(BD1503&gt;'Front Page'!$C$37,"moderate",IF(BD1503&gt;'Front Page'!$C$36,"light","sedentary")))</f>
        <v>#VALUE!</v>
      </c>
      <c r="BF1503" s="86" t="e">
        <f t="shared" si="91"/>
        <v>#NUM!</v>
      </c>
      <c r="BG1503" t="e">
        <f t="shared" ca="1" si="92"/>
        <v>#NUM!</v>
      </c>
    </row>
    <row r="1504" spans="54:59" x14ac:dyDescent="0.2">
      <c r="BB1504" t="e">
        <f t="shared" ca="1" si="90"/>
        <v>#NUM!</v>
      </c>
      <c r="BC1504">
        <v>59</v>
      </c>
      <c r="BD1504" t="e">
        <f t="shared" ca="1" si="93"/>
        <v>#VALUE!</v>
      </c>
      <c r="BE1504" s="11" t="e">
        <f ca="1">IF(BD1504&gt;'Front Page'!$C$38,"vigorous",IF(BD1504&gt;'Front Page'!$C$37,"moderate",IF(BD1504&gt;'Front Page'!$C$36,"light","sedentary")))</f>
        <v>#VALUE!</v>
      </c>
      <c r="BF1504" s="86" t="e">
        <f t="shared" si="91"/>
        <v>#NUM!</v>
      </c>
      <c r="BG1504" t="e">
        <f t="shared" ca="1" si="92"/>
        <v>#NUM!</v>
      </c>
    </row>
    <row r="1505" spans="54:59" x14ac:dyDescent="0.2">
      <c r="BB1505" t="e">
        <f t="shared" ca="1" si="90"/>
        <v>#NUM!</v>
      </c>
      <c r="BC1505">
        <v>60</v>
      </c>
      <c r="BD1505" t="e">
        <f t="shared" ca="1" si="93"/>
        <v>#VALUE!</v>
      </c>
      <c r="BE1505" s="11" t="e">
        <f ca="1">IF(BD1505&gt;'Front Page'!$C$38,"vigorous",IF(BD1505&gt;'Front Page'!$C$37,"moderate",IF(BD1505&gt;'Front Page'!$C$36,"light","sedentary")))</f>
        <v>#VALUE!</v>
      </c>
      <c r="BF1505" s="86" t="e">
        <f t="shared" si="91"/>
        <v>#NUM!</v>
      </c>
      <c r="BG1505" t="e">
        <f t="shared" ca="1" si="92"/>
        <v>#NUM!</v>
      </c>
    </row>
    <row r="1506" spans="54:59" x14ac:dyDescent="0.2">
      <c r="BB1506" t="e">
        <f t="shared" ca="1" si="90"/>
        <v>#NUM!</v>
      </c>
      <c r="BC1506">
        <v>61</v>
      </c>
      <c r="BD1506" t="e">
        <f t="shared" ca="1" si="93"/>
        <v>#VALUE!</v>
      </c>
      <c r="BE1506" s="11" t="e">
        <f ca="1">IF(BD1506&gt;'Front Page'!$C$38,"vigorous",IF(BD1506&gt;'Front Page'!$C$37,"moderate",IF(BD1506&gt;'Front Page'!$C$36,"light","sedentary")))</f>
        <v>#VALUE!</v>
      </c>
      <c r="BF1506" s="86" t="e">
        <f t="shared" si="91"/>
        <v>#NUM!</v>
      </c>
      <c r="BG1506" t="e">
        <f t="shared" ca="1" si="92"/>
        <v>#NUM!</v>
      </c>
    </row>
    <row r="1507" spans="54:59" x14ac:dyDescent="0.2">
      <c r="BB1507" t="e">
        <f t="shared" ca="1" si="90"/>
        <v>#NUM!</v>
      </c>
      <c r="BC1507">
        <v>62</v>
      </c>
      <c r="BD1507" t="e">
        <f t="shared" ca="1" si="93"/>
        <v>#VALUE!</v>
      </c>
      <c r="BE1507" s="11" t="e">
        <f ca="1">IF(BD1507&gt;'Front Page'!$C$38,"vigorous",IF(BD1507&gt;'Front Page'!$C$37,"moderate",IF(BD1507&gt;'Front Page'!$C$36,"light","sedentary")))</f>
        <v>#VALUE!</v>
      </c>
      <c r="BF1507" s="86" t="e">
        <f t="shared" si="91"/>
        <v>#NUM!</v>
      </c>
      <c r="BG1507" t="e">
        <f t="shared" ca="1" si="92"/>
        <v>#NUM!</v>
      </c>
    </row>
    <row r="1508" spans="54:59" x14ac:dyDescent="0.2">
      <c r="BB1508" t="e">
        <f t="shared" ca="1" si="90"/>
        <v>#NUM!</v>
      </c>
      <c r="BC1508">
        <v>63</v>
      </c>
      <c r="BD1508" t="e">
        <f t="shared" ca="1" si="93"/>
        <v>#VALUE!</v>
      </c>
      <c r="BE1508" s="11" t="e">
        <f ca="1">IF(BD1508&gt;'Front Page'!$C$38,"vigorous",IF(BD1508&gt;'Front Page'!$C$37,"moderate",IF(BD1508&gt;'Front Page'!$C$36,"light","sedentary")))</f>
        <v>#VALUE!</v>
      </c>
      <c r="BF1508" s="86" t="e">
        <f t="shared" si="91"/>
        <v>#NUM!</v>
      </c>
      <c r="BG1508" t="e">
        <f t="shared" ca="1" si="92"/>
        <v>#NUM!</v>
      </c>
    </row>
    <row r="1509" spans="54:59" x14ac:dyDescent="0.2">
      <c r="BB1509" t="e">
        <f t="shared" ca="1" si="90"/>
        <v>#NUM!</v>
      </c>
      <c r="BC1509">
        <v>64</v>
      </c>
      <c r="BD1509" t="e">
        <f t="shared" ref="BD1509:BD1540" ca="1" si="94">AVERAGE(OFFSET($BF$4,BC1509*15,0,15,1))</f>
        <v>#VALUE!</v>
      </c>
      <c r="BE1509" s="11" t="e">
        <f ca="1">IF(BD1509&gt;'Front Page'!$C$38,"vigorous",IF(BD1509&gt;'Front Page'!$C$37,"moderate",IF(BD1509&gt;'Front Page'!$C$36,"light","sedentary")))</f>
        <v>#VALUE!</v>
      </c>
      <c r="BF1509" s="86" t="e">
        <f t="shared" si="91"/>
        <v>#NUM!</v>
      </c>
      <c r="BG1509" t="e">
        <f t="shared" ca="1" si="92"/>
        <v>#NUM!</v>
      </c>
    </row>
    <row r="1510" spans="54:59" x14ac:dyDescent="0.2">
      <c r="BB1510" t="e">
        <f t="shared" ref="BB1510:BB1540" ca="1" si="95">IF(BG1510=0,"Sleep",IF(BG1510=1,"sedentary",IF(BG1510=2,"light",IF(BG1510=3,"moderate",IF(BG1510=4,"vigorous")))))</f>
        <v>#NUM!</v>
      </c>
      <c r="BC1510">
        <v>65</v>
      </c>
      <c r="BD1510" t="e">
        <f t="shared" ca="1" si="94"/>
        <v>#VALUE!</v>
      </c>
      <c r="BE1510" s="11" t="e">
        <f ca="1">IF(BD1510&gt;'Front Page'!$C$38,"vigorous",IF(BD1510&gt;'Front Page'!$C$37,"moderate",IF(BD1510&gt;'Front Page'!$C$36,"light","sedentary")))</f>
        <v>#VALUE!</v>
      </c>
      <c r="BF1510" s="86" t="e">
        <f t="shared" ref="BF1510:BF1573" si="96">MEDIAN(BH1510:BU1510)</f>
        <v>#NUM!</v>
      </c>
      <c r="BG1510" t="e">
        <f t="shared" ref="BG1510:BG1549" ca="1" si="97">ROUNDDOWN(MEDIAN(OFFSET($BF$1445,BC1510*15,0,15,1)),0)</f>
        <v>#NUM!</v>
      </c>
    </row>
    <row r="1511" spans="54:59" x14ac:dyDescent="0.2">
      <c r="BB1511" t="e">
        <f t="shared" ca="1" si="95"/>
        <v>#NUM!</v>
      </c>
      <c r="BC1511">
        <v>66</v>
      </c>
      <c r="BD1511" t="e">
        <f t="shared" ca="1" si="94"/>
        <v>#VALUE!</v>
      </c>
      <c r="BE1511" s="11" t="e">
        <f ca="1">IF(BD1511&gt;'Front Page'!$C$38,"vigorous",IF(BD1511&gt;'Front Page'!$C$37,"moderate",IF(BD1511&gt;'Front Page'!$C$36,"light","sedentary")))</f>
        <v>#VALUE!</v>
      </c>
      <c r="BF1511" s="86" t="e">
        <f t="shared" si="96"/>
        <v>#NUM!</v>
      </c>
      <c r="BG1511" t="e">
        <f t="shared" ca="1" si="97"/>
        <v>#NUM!</v>
      </c>
    </row>
    <row r="1512" spans="54:59" x14ac:dyDescent="0.2">
      <c r="BB1512" t="e">
        <f t="shared" ca="1" si="95"/>
        <v>#NUM!</v>
      </c>
      <c r="BC1512">
        <v>67</v>
      </c>
      <c r="BD1512" t="e">
        <f t="shared" ca="1" si="94"/>
        <v>#VALUE!</v>
      </c>
      <c r="BE1512" s="11" t="e">
        <f ca="1">IF(BD1512&gt;'Front Page'!$C$38,"vigorous",IF(BD1512&gt;'Front Page'!$C$37,"moderate",IF(BD1512&gt;'Front Page'!$C$36,"light","sedentary")))</f>
        <v>#VALUE!</v>
      </c>
      <c r="BF1512" s="86" t="e">
        <f t="shared" si="96"/>
        <v>#NUM!</v>
      </c>
      <c r="BG1512" t="e">
        <f t="shared" ca="1" si="97"/>
        <v>#NUM!</v>
      </c>
    </row>
    <row r="1513" spans="54:59" x14ac:dyDescent="0.2">
      <c r="BB1513" t="e">
        <f t="shared" ca="1" si="95"/>
        <v>#NUM!</v>
      </c>
      <c r="BC1513">
        <v>68</v>
      </c>
      <c r="BD1513" t="e">
        <f t="shared" ca="1" si="94"/>
        <v>#VALUE!</v>
      </c>
      <c r="BE1513" s="11" t="e">
        <f ca="1">IF(BD1513&gt;'Front Page'!$C$38,"vigorous",IF(BD1513&gt;'Front Page'!$C$37,"moderate",IF(BD1513&gt;'Front Page'!$C$36,"light","sedentary")))</f>
        <v>#VALUE!</v>
      </c>
      <c r="BF1513" s="86" t="e">
        <f t="shared" si="96"/>
        <v>#NUM!</v>
      </c>
      <c r="BG1513" t="e">
        <f t="shared" ca="1" si="97"/>
        <v>#NUM!</v>
      </c>
    </row>
    <row r="1514" spans="54:59" x14ac:dyDescent="0.2">
      <c r="BB1514" t="e">
        <f t="shared" ca="1" si="95"/>
        <v>#NUM!</v>
      </c>
      <c r="BC1514">
        <v>69</v>
      </c>
      <c r="BD1514" t="e">
        <f t="shared" ca="1" si="94"/>
        <v>#VALUE!</v>
      </c>
      <c r="BE1514" s="11" t="e">
        <f ca="1">IF(BD1514&gt;'Front Page'!$C$38,"vigorous",IF(BD1514&gt;'Front Page'!$C$37,"moderate",IF(BD1514&gt;'Front Page'!$C$36,"light","sedentary")))</f>
        <v>#VALUE!</v>
      </c>
      <c r="BF1514" s="86" t="e">
        <f t="shared" si="96"/>
        <v>#NUM!</v>
      </c>
      <c r="BG1514" t="e">
        <f t="shared" ca="1" si="97"/>
        <v>#NUM!</v>
      </c>
    </row>
    <row r="1515" spans="54:59" x14ac:dyDescent="0.2">
      <c r="BB1515" t="e">
        <f t="shared" ca="1" si="95"/>
        <v>#NUM!</v>
      </c>
      <c r="BC1515">
        <v>70</v>
      </c>
      <c r="BD1515" t="e">
        <f t="shared" ca="1" si="94"/>
        <v>#VALUE!</v>
      </c>
      <c r="BE1515" s="11" t="e">
        <f ca="1">IF(BD1515&gt;'Front Page'!$C$38,"vigorous",IF(BD1515&gt;'Front Page'!$C$37,"moderate",IF(BD1515&gt;'Front Page'!$C$36,"light","sedentary")))</f>
        <v>#VALUE!</v>
      </c>
      <c r="BF1515" s="86" t="e">
        <f t="shared" si="96"/>
        <v>#NUM!</v>
      </c>
      <c r="BG1515" t="e">
        <f t="shared" ca="1" si="97"/>
        <v>#NUM!</v>
      </c>
    </row>
    <row r="1516" spans="54:59" x14ac:dyDescent="0.2">
      <c r="BB1516" t="e">
        <f t="shared" ca="1" si="95"/>
        <v>#NUM!</v>
      </c>
      <c r="BC1516">
        <v>71</v>
      </c>
      <c r="BD1516" t="e">
        <f t="shared" ca="1" si="94"/>
        <v>#VALUE!</v>
      </c>
      <c r="BE1516" s="11" t="e">
        <f ca="1">IF(BD1516&gt;'Front Page'!$C$38,"vigorous",IF(BD1516&gt;'Front Page'!$C$37,"moderate",IF(BD1516&gt;'Front Page'!$C$36,"light","sedentary")))</f>
        <v>#VALUE!</v>
      </c>
      <c r="BF1516" s="86" t="e">
        <f t="shared" si="96"/>
        <v>#NUM!</v>
      </c>
      <c r="BG1516" t="e">
        <f t="shared" ca="1" si="97"/>
        <v>#NUM!</v>
      </c>
    </row>
    <row r="1517" spans="54:59" x14ac:dyDescent="0.2">
      <c r="BB1517" t="e">
        <f t="shared" ca="1" si="95"/>
        <v>#NUM!</v>
      </c>
      <c r="BC1517">
        <v>72</v>
      </c>
      <c r="BD1517" t="e">
        <f t="shared" ca="1" si="94"/>
        <v>#VALUE!</v>
      </c>
      <c r="BE1517" s="11" t="e">
        <f ca="1">IF(BD1517&gt;'Front Page'!$C$38,"vigorous",IF(BD1517&gt;'Front Page'!$C$37,"moderate",IF(BD1517&gt;'Front Page'!$C$36,"light","sedentary")))</f>
        <v>#VALUE!</v>
      </c>
      <c r="BF1517" s="86" t="e">
        <f t="shared" si="96"/>
        <v>#NUM!</v>
      </c>
      <c r="BG1517" t="e">
        <f t="shared" ca="1" si="97"/>
        <v>#NUM!</v>
      </c>
    </row>
    <row r="1518" spans="54:59" x14ac:dyDescent="0.2">
      <c r="BB1518" t="e">
        <f t="shared" ca="1" si="95"/>
        <v>#NUM!</v>
      </c>
      <c r="BC1518">
        <v>73</v>
      </c>
      <c r="BD1518" t="e">
        <f t="shared" ca="1" si="94"/>
        <v>#VALUE!</v>
      </c>
      <c r="BE1518" s="11" t="e">
        <f ca="1">IF(BD1518&gt;'Front Page'!$C$38,"vigorous",IF(BD1518&gt;'Front Page'!$C$37,"moderate",IF(BD1518&gt;'Front Page'!$C$36,"light","sedentary")))</f>
        <v>#VALUE!</v>
      </c>
      <c r="BF1518" s="86" t="e">
        <f t="shared" si="96"/>
        <v>#NUM!</v>
      </c>
      <c r="BG1518" t="e">
        <f t="shared" ca="1" si="97"/>
        <v>#NUM!</v>
      </c>
    </row>
    <row r="1519" spans="54:59" x14ac:dyDescent="0.2">
      <c r="BB1519" t="e">
        <f t="shared" ca="1" si="95"/>
        <v>#NUM!</v>
      </c>
      <c r="BC1519">
        <v>74</v>
      </c>
      <c r="BD1519" t="e">
        <f t="shared" ca="1" si="94"/>
        <v>#VALUE!</v>
      </c>
      <c r="BE1519" s="11" t="e">
        <f ca="1">IF(BD1519&gt;'Front Page'!$C$38,"vigorous",IF(BD1519&gt;'Front Page'!$C$37,"moderate",IF(BD1519&gt;'Front Page'!$C$36,"light","sedentary")))</f>
        <v>#VALUE!</v>
      </c>
      <c r="BF1519" s="86" t="e">
        <f t="shared" si="96"/>
        <v>#NUM!</v>
      </c>
      <c r="BG1519" t="e">
        <f t="shared" ca="1" si="97"/>
        <v>#NUM!</v>
      </c>
    </row>
    <row r="1520" spans="54:59" x14ac:dyDescent="0.2">
      <c r="BB1520" t="e">
        <f t="shared" ca="1" si="95"/>
        <v>#NUM!</v>
      </c>
      <c r="BC1520">
        <v>75</v>
      </c>
      <c r="BD1520" t="e">
        <f t="shared" ca="1" si="94"/>
        <v>#VALUE!</v>
      </c>
      <c r="BE1520" s="11" t="e">
        <f ca="1">IF(BD1520&gt;'Front Page'!$C$38,"vigorous",IF(BD1520&gt;'Front Page'!$C$37,"moderate",IF(BD1520&gt;'Front Page'!$C$36,"light","sedentary")))</f>
        <v>#VALUE!</v>
      </c>
      <c r="BF1520" s="86" t="e">
        <f t="shared" si="96"/>
        <v>#NUM!</v>
      </c>
      <c r="BG1520" t="e">
        <f t="shared" ca="1" si="97"/>
        <v>#NUM!</v>
      </c>
    </row>
    <row r="1521" spans="54:59" x14ac:dyDescent="0.2">
      <c r="BB1521" t="e">
        <f t="shared" ca="1" si="95"/>
        <v>#NUM!</v>
      </c>
      <c r="BC1521">
        <v>76</v>
      </c>
      <c r="BD1521" t="e">
        <f t="shared" ca="1" si="94"/>
        <v>#VALUE!</v>
      </c>
      <c r="BE1521" s="11" t="e">
        <f ca="1">IF(BD1521&gt;'Front Page'!$C$38,"vigorous",IF(BD1521&gt;'Front Page'!$C$37,"moderate",IF(BD1521&gt;'Front Page'!$C$36,"light","sedentary")))</f>
        <v>#VALUE!</v>
      </c>
      <c r="BF1521" s="86" t="e">
        <f t="shared" si="96"/>
        <v>#NUM!</v>
      </c>
      <c r="BG1521" t="e">
        <f t="shared" ca="1" si="97"/>
        <v>#NUM!</v>
      </c>
    </row>
    <row r="1522" spans="54:59" x14ac:dyDescent="0.2">
      <c r="BB1522" t="e">
        <f t="shared" ca="1" si="95"/>
        <v>#NUM!</v>
      </c>
      <c r="BC1522">
        <v>77</v>
      </c>
      <c r="BD1522" t="e">
        <f t="shared" ca="1" si="94"/>
        <v>#VALUE!</v>
      </c>
      <c r="BE1522" s="11" t="e">
        <f ca="1">IF(BD1522&gt;'Front Page'!$C$38,"vigorous",IF(BD1522&gt;'Front Page'!$C$37,"moderate",IF(BD1522&gt;'Front Page'!$C$36,"light","sedentary")))</f>
        <v>#VALUE!</v>
      </c>
      <c r="BF1522" s="86" t="e">
        <f t="shared" si="96"/>
        <v>#NUM!</v>
      </c>
      <c r="BG1522" t="e">
        <f t="shared" ca="1" si="97"/>
        <v>#NUM!</v>
      </c>
    </row>
    <row r="1523" spans="54:59" x14ac:dyDescent="0.2">
      <c r="BB1523" t="e">
        <f t="shared" ca="1" si="95"/>
        <v>#NUM!</v>
      </c>
      <c r="BC1523">
        <v>78</v>
      </c>
      <c r="BD1523" t="e">
        <f t="shared" ca="1" si="94"/>
        <v>#VALUE!</v>
      </c>
      <c r="BE1523" s="11" t="e">
        <f ca="1">IF(BD1523&gt;'Front Page'!$C$38,"vigorous",IF(BD1523&gt;'Front Page'!$C$37,"moderate",IF(BD1523&gt;'Front Page'!$C$36,"light","sedentary")))</f>
        <v>#VALUE!</v>
      </c>
      <c r="BF1523" s="86" t="e">
        <f t="shared" si="96"/>
        <v>#NUM!</v>
      </c>
      <c r="BG1523" t="e">
        <f t="shared" ca="1" si="97"/>
        <v>#NUM!</v>
      </c>
    </row>
    <row r="1524" spans="54:59" x14ac:dyDescent="0.2">
      <c r="BB1524" t="e">
        <f t="shared" ca="1" si="95"/>
        <v>#NUM!</v>
      </c>
      <c r="BC1524">
        <v>79</v>
      </c>
      <c r="BD1524" t="e">
        <f t="shared" ca="1" si="94"/>
        <v>#VALUE!</v>
      </c>
      <c r="BE1524" s="11" t="e">
        <f ca="1">IF(BD1524&gt;'Front Page'!$C$38,"vigorous",IF(BD1524&gt;'Front Page'!$C$37,"moderate",IF(BD1524&gt;'Front Page'!$C$36,"light","sedentary")))</f>
        <v>#VALUE!</v>
      </c>
      <c r="BF1524" s="86" t="e">
        <f t="shared" si="96"/>
        <v>#NUM!</v>
      </c>
      <c r="BG1524" t="e">
        <f t="shared" ca="1" si="97"/>
        <v>#NUM!</v>
      </c>
    </row>
    <row r="1525" spans="54:59" x14ac:dyDescent="0.2">
      <c r="BB1525" t="e">
        <f t="shared" ca="1" si="95"/>
        <v>#NUM!</v>
      </c>
      <c r="BC1525">
        <v>80</v>
      </c>
      <c r="BD1525" t="e">
        <f t="shared" ca="1" si="94"/>
        <v>#VALUE!</v>
      </c>
      <c r="BE1525" s="11" t="e">
        <f ca="1">IF(BD1525&gt;'Front Page'!$C$38,"vigorous",IF(BD1525&gt;'Front Page'!$C$37,"moderate",IF(BD1525&gt;'Front Page'!$C$36,"light","sedentary")))</f>
        <v>#VALUE!</v>
      </c>
      <c r="BF1525" s="86" t="e">
        <f t="shared" si="96"/>
        <v>#NUM!</v>
      </c>
      <c r="BG1525" t="e">
        <f t="shared" ca="1" si="97"/>
        <v>#NUM!</v>
      </c>
    </row>
    <row r="1526" spans="54:59" x14ac:dyDescent="0.2">
      <c r="BB1526" t="e">
        <f t="shared" ca="1" si="95"/>
        <v>#NUM!</v>
      </c>
      <c r="BC1526">
        <v>81</v>
      </c>
      <c r="BD1526" t="e">
        <f t="shared" ca="1" si="94"/>
        <v>#VALUE!</v>
      </c>
      <c r="BE1526" s="11" t="e">
        <f ca="1">IF(BD1526&gt;'Front Page'!$C$38,"vigorous",IF(BD1526&gt;'Front Page'!$C$37,"moderate",IF(BD1526&gt;'Front Page'!$C$36,"light","sedentary")))</f>
        <v>#VALUE!</v>
      </c>
      <c r="BF1526" s="86" t="e">
        <f t="shared" si="96"/>
        <v>#NUM!</v>
      </c>
      <c r="BG1526" t="e">
        <f t="shared" ca="1" si="97"/>
        <v>#NUM!</v>
      </c>
    </row>
    <row r="1527" spans="54:59" x14ac:dyDescent="0.2">
      <c r="BB1527" t="e">
        <f t="shared" ca="1" si="95"/>
        <v>#NUM!</v>
      </c>
      <c r="BC1527">
        <v>82</v>
      </c>
      <c r="BD1527" t="e">
        <f t="shared" ca="1" si="94"/>
        <v>#VALUE!</v>
      </c>
      <c r="BE1527" s="11" t="e">
        <f ca="1">IF(BD1527&gt;'Front Page'!$C$38,"vigorous",IF(BD1527&gt;'Front Page'!$C$37,"moderate",IF(BD1527&gt;'Front Page'!$C$36,"light","sedentary")))</f>
        <v>#VALUE!</v>
      </c>
      <c r="BF1527" s="86" t="e">
        <f t="shared" si="96"/>
        <v>#NUM!</v>
      </c>
      <c r="BG1527" t="e">
        <f t="shared" ca="1" si="97"/>
        <v>#NUM!</v>
      </c>
    </row>
    <row r="1528" spans="54:59" x14ac:dyDescent="0.2">
      <c r="BB1528" t="e">
        <f t="shared" ca="1" si="95"/>
        <v>#NUM!</v>
      </c>
      <c r="BC1528">
        <v>83</v>
      </c>
      <c r="BD1528" t="e">
        <f t="shared" ca="1" si="94"/>
        <v>#VALUE!</v>
      </c>
      <c r="BE1528" s="11" t="e">
        <f ca="1">IF(BD1528&gt;'Front Page'!$C$38,"vigorous",IF(BD1528&gt;'Front Page'!$C$37,"moderate",IF(BD1528&gt;'Front Page'!$C$36,"light","sedentary")))</f>
        <v>#VALUE!</v>
      </c>
      <c r="BF1528" s="86" t="e">
        <f t="shared" si="96"/>
        <v>#NUM!</v>
      </c>
      <c r="BG1528" t="e">
        <f t="shared" ca="1" si="97"/>
        <v>#NUM!</v>
      </c>
    </row>
    <row r="1529" spans="54:59" x14ac:dyDescent="0.2">
      <c r="BB1529" t="e">
        <f t="shared" ca="1" si="95"/>
        <v>#NUM!</v>
      </c>
      <c r="BC1529">
        <v>84</v>
      </c>
      <c r="BD1529" t="e">
        <f t="shared" ca="1" si="94"/>
        <v>#VALUE!</v>
      </c>
      <c r="BE1529" s="11" t="e">
        <f ca="1">IF(BD1529&gt;'Front Page'!$C$38,"vigorous",IF(BD1529&gt;'Front Page'!$C$37,"moderate",IF(BD1529&gt;'Front Page'!$C$36,"light","sedentary")))</f>
        <v>#VALUE!</v>
      </c>
      <c r="BF1529" s="86" t="e">
        <f t="shared" si="96"/>
        <v>#NUM!</v>
      </c>
      <c r="BG1529" t="e">
        <f t="shared" ca="1" si="97"/>
        <v>#NUM!</v>
      </c>
    </row>
    <row r="1530" spans="54:59" x14ac:dyDescent="0.2">
      <c r="BB1530" t="e">
        <f t="shared" ca="1" si="95"/>
        <v>#NUM!</v>
      </c>
      <c r="BC1530">
        <v>85</v>
      </c>
      <c r="BD1530" t="e">
        <f t="shared" ca="1" si="94"/>
        <v>#VALUE!</v>
      </c>
      <c r="BE1530" s="11" t="e">
        <f ca="1">IF(BD1530&gt;'Front Page'!$C$38,"vigorous",IF(BD1530&gt;'Front Page'!$C$37,"moderate",IF(BD1530&gt;'Front Page'!$C$36,"light","sedentary")))</f>
        <v>#VALUE!</v>
      </c>
      <c r="BF1530" s="86" t="e">
        <f t="shared" si="96"/>
        <v>#NUM!</v>
      </c>
      <c r="BG1530" t="e">
        <f t="shared" ca="1" si="97"/>
        <v>#NUM!</v>
      </c>
    </row>
    <row r="1531" spans="54:59" x14ac:dyDescent="0.2">
      <c r="BB1531" t="e">
        <f t="shared" ca="1" si="95"/>
        <v>#NUM!</v>
      </c>
      <c r="BC1531">
        <v>86</v>
      </c>
      <c r="BD1531" t="e">
        <f t="shared" ca="1" si="94"/>
        <v>#VALUE!</v>
      </c>
      <c r="BE1531" s="11" t="e">
        <f ca="1">IF(BD1531&gt;'Front Page'!$C$38,"vigorous",IF(BD1531&gt;'Front Page'!$C$37,"moderate",IF(BD1531&gt;'Front Page'!$C$36,"light","sedentary")))</f>
        <v>#VALUE!</v>
      </c>
      <c r="BF1531" s="86" t="e">
        <f t="shared" si="96"/>
        <v>#NUM!</v>
      </c>
      <c r="BG1531" t="e">
        <f t="shared" ca="1" si="97"/>
        <v>#NUM!</v>
      </c>
    </row>
    <row r="1532" spans="54:59" x14ac:dyDescent="0.2">
      <c r="BB1532" t="e">
        <f t="shared" ca="1" si="95"/>
        <v>#NUM!</v>
      </c>
      <c r="BC1532">
        <v>87</v>
      </c>
      <c r="BD1532" t="e">
        <f t="shared" ca="1" si="94"/>
        <v>#VALUE!</v>
      </c>
      <c r="BE1532" s="11" t="e">
        <f ca="1">IF(BD1532&gt;'Front Page'!$C$38,"vigorous",IF(BD1532&gt;'Front Page'!$C$37,"moderate",IF(BD1532&gt;'Front Page'!$C$36,"light","sedentary")))</f>
        <v>#VALUE!</v>
      </c>
      <c r="BF1532" s="86" t="e">
        <f t="shared" si="96"/>
        <v>#NUM!</v>
      </c>
      <c r="BG1532" t="e">
        <f t="shared" ca="1" si="97"/>
        <v>#NUM!</v>
      </c>
    </row>
    <row r="1533" spans="54:59" x14ac:dyDescent="0.2">
      <c r="BB1533" t="e">
        <f t="shared" ca="1" si="95"/>
        <v>#NUM!</v>
      </c>
      <c r="BC1533">
        <v>88</v>
      </c>
      <c r="BD1533" t="e">
        <f t="shared" ca="1" si="94"/>
        <v>#VALUE!</v>
      </c>
      <c r="BE1533" s="11" t="e">
        <f ca="1">IF(BD1533&gt;'Front Page'!$C$38,"vigorous",IF(BD1533&gt;'Front Page'!$C$37,"moderate",IF(BD1533&gt;'Front Page'!$C$36,"light","sedentary")))</f>
        <v>#VALUE!</v>
      </c>
      <c r="BF1533" s="86" t="e">
        <f t="shared" si="96"/>
        <v>#NUM!</v>
      </c>
      <c r="BG1533" t="e">
        <f t="shared" ca="1" si="97"/>
        <v>#NUM!</v>
      </c>
    </row>
    <row r="1534" spans="54:59" x14ac:dyDescent="0.2">
      <c r="BB1534" t="e">
        <f t="shared" ca="1" si="95"/>
        <v>#NUM!</v>
      </c>
      <c r="BC1534">
        <v>89</v>
      </c>
      <c r="BD1534" t="e">
        <f t="shared" ca="1" si="94"/>
        <v>#VALUE!</v>
      </c>
      <c r="BE1534" s="11" t="e">
        <f ca="1">IF(BD1534&gt;'Front Page'!$C$38,"vigorous",IF(BD1534&gt;'Front Page'!$C$37,"moderate",IF(BD1534&gt;'Front Page'!$C$36,"light","sedentary")))</f>
        <v>#VALUE!</v>
      </c>
      <c r="BF1534" s="86" t="e">
        <f t="shared" si="96"/>
        <v>#NUM!</v>
      </c>
      <c r="BG1534" t="e">
        <f t="shared" ca="1" si="97"/>
        <v>#NUM!</v>
      </c>
    </row>
    <row r="1535" spans="54:59" x14ac:dyDescent="0.2">
      <c r="BB1535" t="e">
        <f t="shared" ca="1" si="95"/>
        <v>#NUM!</v>
      </c>
      <c r="BC1535">
        <v>90</v>
      </c>
      <c r="BD1535" t="e">
        <f t="shared" ca="1" si="94"/>
        <v>#VALUE!</v>
      </c>
      <c r="BE1535" s="11" t="e">
        <f ca="1">IF(BD1535&gt;'Front Page'!$C$38,"vigorous",IF(BD1535&gt;'Front Page'!$C$37,"moderate",IF(BD1535&gt;'Front Page'!$C$36,"light","sedentary")))</f>
        <v>#VALUE!</v>
      </c>
      <c r="BF1535" s="86" t="e">
        <f t="shared" si="96"/>
        <v>#NUM!</v>
      </c>
      <c r="BG1535" t="e">
        <f t="shared" ca="1" si="97"/>
        <v>#NUM!</v>
      </c>
    </row>
    <row r="1536" spans="54:59" x14ac:dyDescent="0.2">
      <c r="BB1536" t="e">
        <f t="shared" ca="1" si="95"/>
        <v>#NUM!</v>
      </c>
      <c r="BC1536">
        <v>91</v>
      </c>
      <c r="BD1536" t="e">
        <f t="shared" ca="1" si="94"/>
        <v>#VALUE!</v>
      </c>
      <c r="BE1536" s="11" t="e">
        <f ca="1">IF(BD1536&gt;'Front Page'!$C$38,"vigorous",IF(BD1536&gt;'Front Page'!$C$37,"moderate",IF(BD1536&gt;'Front Page'!$C$36,"light","sedentary")))</f>
        <v>#VALUE!</v>
      </c>
      <c r="BF1536" s="86" t="e">
        <f t="shared" si="96"/>
        <v>#NUM!</v>
      </c>
      <c r="BG1536" t="e">
        <f t="shared" ca="1" si="97"/>
        <v>#NUM!</v>
      </c>
    </row>
    <row r="1537" spans="54:60" x14ac:dyDescent="0.2">
      <c r="BB1537" t="e">
        <f t="shared" ca="1" si="95"/>
        <v>#NUM!</v>
      </c>
      <c r="BC1537">
        <v>92</v>
      </c>
      <c r="BD1537" t="e">
        <f t="shared" ca="1" si="94"/>
        <v>#VALUE!</v>
      </c>
      <c r="BE1537" s="11" t="e">
        <f ca="1">IF(BD1537&gt;'Front Page'!$C$38,"vigorous",IF(BD1537&gt;'Front Page'!$C$37,"moderate",IF(BD1537&gt;'Front Page'!$C$36,"light","sedentary")))</f>
        <v>#VALUE!</v>
      </c>
      <c r="BF1537" s="86" t="e">
        <f t="shared" si="96"/>
        <v>#NUM!</v>
      </c>
      <c r="BG1537" t="e">
        <f t="shared" ca="1" si="97"/>
        <v>#NUM!</v>
      </c>
    </row>
    <row r="1538" spans="54:60" x14ac:dyDescent="0.2">
      <c r="BB1538" t="e">
        <f t="shared" ca="1" si="95"/>
        <v>#NUM!</v>
      </c>
      <c r="BC1538">
        <v>93</v>
      </c>
      <c r="BD1538" t="e">
        <f t="shared" ca="1" si="94"/>
        <v>#VALUE!</v>
      </c>
      <c r="BE1538" s="11" t="e">
        <f ca="1">IF(BD1538&gt;'Front Page'!$C$38,"vigorous",IF(BD1538&gt;'Front Page'!$C$37,"moderate",IF(BD1538&gt;'Front Page'!$C$36,"light","sedentary")))</f>
        <v>#VALUE!</v>
      </c>
      <c r="BF1538" s="86" t="e">
        <f t="shared" si="96"/>
        <v>#NUM!</v>
      </c>
      <c r="BG1538" t="e">
        <f t="shared" ca="1" si="97"/>
        <v>#NUM!</v>
      </c>
    </row>
    <row r="1539" spans="54:60" x14ac:dyDescent="0.2">
      <c r="BB1539" t="e">
        <f t="shared" ca="1" si="95"/>
        <v>#NUM!</v>
      </c>
      <c r="BC1539">
        <v>94</v>
      </c>
      <c r="BD1539" t="e">
        <f t="shared" ca="1" si="94"/>
        <v>#VALUE!</v>
      </c>
      <c r="BE1539" s="11" t="e">
        <f ca="1">IF(BD1539&gt;'Front Page'!$C$38,"vigorous",IF(BD1539&gt;'Front Page'!$C$37,"moderate",IF(BD1539&gt;'Front Page'!$C$36,"light","sedentary")))</f>
        <v>#VALUE!</v>
      </c>
      <c r="BF1539" s="86" t="e">
        <f t="shared" si="96"/>
        <v>#NUM!</v>
      </c>
      <c r="BG1539" t="e">
        <f t="shared" ca="1" si="97"/>
        <v>#NUM!</v>
      </c>
    </row>
    <row r="1540" spans="54:60" x14ac:dyDescent="0.2">
      <c r="BB1540" t="e">
        <f t="shared" ca="1" si="95"/>
        <v>#NUM!</v>
      </c>
      <c r="BC1540">
        <v>95</v>
      </c>
      <c r="BD1540" t="e">
        <f t="shared" ca="1" si="94"/>
        <v>#VALUE!</v>
      </c>
      <c r="BE1540" s="11" t="e">
        <f ca="1">IF(BD1540&gt;'Front Page'!$C$38,"vigorous",IF(BD1540&gt;'Front Page'!$C$37,"moderate",IF(BD1540&gt;'Front Page'!$C$36,"light","sedentary")))</f>
        <v>#VALUE!</v>
      </c>
      <c r="BF1540" s="86" t="e">
        <f t="shared" si="96"/>
        <v>#NUM!</v>
      </c>
      <c r="BG1540" t="e">
        <f t="shared" ca="1" si="97"/>
        <v>#NUM!</v>
      </c>
    </row>
    <row r="1541" spans="54:60" x14ac:dyDescent="0.2">
      <c r="BF1541" s="86" t="e">
        <f t="shared" si="96"/>
        <v>#NUM!</v>
      </c>
      <c r="BG1541" t="e">
        <f t="shared" ca="1" si="97"/>
        <v>#NUM!</v>
      </c>
      <c r="BH1541" s="11"/>
    </row>
    <row r="1542" spans="54:60" x14ac:dyDescent="0.2">
      <c r="BF1542" s="86" t="e">
        <f t="shared" si="96"/>
        <v>#NUM!</v>
      </c>
      <c r="BG1542" t="e">
        <f t="shared" ca="1" si="97"/>
        <v>#NUM!</v>
      </c>
    </row>
    <row r="1543" spans="54:60" x14ac:dyDescent="0.2">
      <c r="BF1543" s="86" t="e">
        <f t="shared" si="96"/>
        <v>#NUM!</v>
      </c>
      <c r="BG1543" t="e">
        <f t="shared" ca="1" si="97"/>
        <v>#NUM!</v>
      </c>
    </row>
    <row r="1544" spans="54:60" x14ac:dyDescent="0.2">
      <c r="BF1544" s="86" t="e">
        <f t="shared" si="96"/>
        <v>#NUM!</v>
      </c>
      <c r="BG1544" t="e">
        <f t="shared" ca="1" si="97"/>
        <v>#NUM!</v>
      </c>
    </row>
    <row r="1545" spans="54:60" x14ac:dyDescent="0.2">
      <c r="BF1545" s="86" t="e">
        <f t="shared" si="96"/>
        <v>#NUM!</v>
      </c>
      <c r="BG1545" t="e">
        <f t="shared" ca="1" si="97"/>
        <v>#NUM!</v>
      </c>
    </row>
    <row r="1546" spans="54:60" x14ac:dyDescent="0.2">
      <c r="BF1546" s="86" t="e">
        <f t="shared" si="96"/>
        <v>#NUM!</v>
      </c>
      <c r="BG1546" t="e">
        <f t="shared" ca="1" si="97"/>
        <v>#NUM!</v>
      </c>
    </row>
    <row r="1547" spans="54:60" x14ac:dyDescent="0.2">
      <c r="BF1547" s="86" t="e">
        <f t="shared" si="96"/>
        <v>#NUM!</v>
      </c>
      <c r="BG1547" t="e">
        <f t="shared" ca="1" si="97"/>
        <v>#NUM!</v>
      </c>
    </row>
    <row r="1548" spans="54:60" x14ac:dyDescent="0.2">
      <c r="BF1548" s="86" t="e">
        <f t="shared" si="96"/>
        <v>#NUM!</v>
      </c>
      <c r="BG1548" t="e">
        <f t="shared" ca="1" si="97"/>
        <v>#NUM!</v>
      </c>
    </row>
    <row r="1549" spans="54:60" x14ac:dyDescent="0.2">
      <c r="BF1549" s="86" t="e">
        <f t="shared" si="96"/>
        <v>#NUM!</v>
      </c>
      <c r="BG1549" t="e">
        <f t="shared" ca="1" si="97"/>
        <v>#NUM!</v>
      </c>
    </row>
    <row r="1550" spans="54:60" x14ac:dyDescent="0.2">
      <c r="BF1550" s="86" t="e">
        <f t="shared" si="96"/>
        <v>#NUM!</v>
      </c>
    </row>
    <row r="1551" spans="54:60" x14ac:dyDescent="0.2">
      <c r="BF1551" s="86" t="e">
        <f t="shared" si="96"/>
        <v>#NUM!</v>
      </c>
    </row>
    <row r="1552" spans="54:60" x14ac:dyDescent="0.2">
      <c r="BF1552" s="86" t="e">
        <f t="shared" si="96"/>
        <v>#NUM!</v>
      </c>
    </row>
    <row r="1553" spans="58:58" x14ac:dyDescent="0.2">
      <c r="BF1553" s="86" t="e">
        <f t="shared" si="96"/>
        <v>#NUM!</v>
      </c>
    </row>
    <row r="1554" spans="58:58" x14ac:dyDescent="0.2">
      <c r="BF1554" s="86" t="e">
        <f t="shared" si="96"/>
        <v>#NUM!</v>
      </c>
    </row>
    <row r="1555" spans="58:58" x14ac:dyDescent="0.2">
      <c r="BF1555" s="86" t="e">
        <f t="shared" si="96"/>
        <v>#NUM!</v>
      </c>
    </row>
    <row r="1556" spans="58:58" x14ac:dyDescent="0.2">
      <c r="BF1556" s="86" t="e">
        <f t="shared" si="96"/>
        <v>#NUM!</v>
      </c>
    </row>
    <row r="1557" spans="58:58" x14ac:dyDescent="0.2">
      <c r="BF1557" s="86" t="e">
        <f t="shared" si="96"/>
        <v>#NUM!</v>
      </c>
    </row>
    <row r="1558" spans="58:58" x14ac:dyDescent="0.2">
      <c r="BF1558" s="86" t="e">
        <f t="shared" si="96"/>
        <v>#NUM!</v>
      </c>
    </row>
    <row r="1559" spans="58:58" x14ac:dyDescent="0.2">
      <c r="BF1559" s="86" t="e">
        <f t="shared" si="96"/>
        <v>#NUM!</v>
      </c>
    </row>
    <row r="1560" spans="58:58" x14ac:dyDescent="0.2">
      <c r="BF1560" s="86" t="e">
        <f t="shared" si="96"/>
        <v>#NUM!</v>
      </c>
    </row>
    <row r="1561" spans="58:58" x14ac:dyDescent="0.2">
      <c r="BF1561" s="86" t="e">
        <f t="shared" si="96"/>
        <v>#NUM!</v>
      </c>
    </row>
    <row r="1562" spans="58:58" x14ac:dyDescent="0.2">
      <c r="BF1562" s="86" t="e">
        <f t="shared" si="96"/>
        <v>#NUM!</v>
      </c>
    </row>
    <row r="1563" spans="58:58" x14ac:dyDescent="0.2">
      <c r="BF1563" s="86" t="e">
        <f t="shared" si="96"/>
        <v>#NUM!</v>
      </c>
    </row>
    <row r="1564" spans="58:58" x14ac:dyDescent="0.2">
      <c r="BF1564" s="86" t="e">
        <f t="shared" si="96"/>
        <v>#NUM!</v>
      </c>
    </row>
    <row r="1565" spans="58:58" x14ac:dyDescent="0.2">
      <c r="BF1565" s="86" t="e">
        <f t="shared" si="96"/>
        <v>#NUM!</v>
      </c>
    </row>
    <row r="1566" spans="58:58" x14ac:dyDescent="0.2">
      <c r="BF1566" s="86" t="e">
        <f t="shared" si="96"/>
        <v>#NUM!</v>
      </c>
    </row>
    <row r="1567" spans="58:58" x14ac:dyDescent="0.2">
      <c r="BF1567" s="86" t="e">
        <f t="shared" si="96"/>
        <v>#NUM!</v>
      </c>
    </row>
    <row r="1568" spans="58:58" x14ac:dyDescent="0.2">
      <c r="BF1568" s="86" t="e">
        <f t="shared" si="96"/>
        <v>#NUM!</v>
      </c>
    </row>
    <row r="1569" spans="58:58" x14ac:dyDescent="0.2">
      <c r="BF1569" s="86" t="e">
        <f t="shared" si="96"/>
        <v>#NUM!</v>
      </c>
    </row>
    <row r="1570" spans="58:58" x14ac:dyDescent="0.2">
      <c r="BF1570" s="86" t="e">
        <f t="shared" si="96"/>
        <v>#NUM!</v>
      </c>
    </row>
    <row r="1571" spans="58:58" x14ac:dyDescent="0.2">
      <c r="BF1571" s="86" t="e">
        <f t="shared" si="96"/>
        <v>#NUM!</v>
      </c>
    </row>
    <row r="1572" spans="58:58" x14ac:dyDescent="0.2">
      <c r="BF1572" s="86" t="e">
        <f t="shared" si="96"/>
        <v>#NUM!</v>
      </c>
    </row>
    <row r="1573" spans="58:58" x14ac:dyDescent="0.2">
      <c r="BF1573" s="86" t="e">
        <f t="shared" si="96"/>
        <v>#NUM!</v>
      </c>
    </row>
    <row r="1574" spans="58:58" x14ac:dyDescent="0.2">
      <c r="BF1574" s="86" t="e">
        <f t="shared" ref="BF1574:BF1637" si="98">MEDIAN(BH1574:BU1574)</f>
        <v>#NUM!</v>
      </c>
    </row>
    <row r="1575" spans="58:58" x14ac:dyDescent="0.2">
      <c r="BF1575" s="86" t="e">
        <f t="shared" si="98"/>
        <v>#NUM!</v>
      </c>
    </row>
    <row r="1576" spans="58:58" x14ac:dyDescent="0.2">
      <c r="BF1576" s="86" t="e">
        <f t="shared" si="98"/>
        <v>#NUM!</v>
      </c>
    </row>
    <row r="1577" spans="58:58" x14ac:dyDescent="0.2">
      <c r="BF1577" s="86" t="e">
        <f t="shared" si="98"/>
        <v>#NUM!</v>
      </c>
    </row>
    <row r="1578" spans="58:58" x14ac:dyDescent="0.2">
      <c r="BF1578" s="86" t="e">
        <f t="shared" si="98"/>
        <v>#NUM!</v>
      </c>
    </row>
    <row r="1579" spans="58:58" x14ac:dyDescent="0.2">
      <c r="BF1579" s="86" t="e">
        <f t="shared" si="98"/>
        <v>#NUM!</v>
      </c>
    </row>
    <row r="1580" spans="58:58" x14ac:dyDescent="0.2">
      <c r="BF1580" s="86" t="e">
        <f t="shared" si="98"/>
        <v>#NUM!</v>
      </c>
    </row>
    <row r="1581" spans="58:58" x14ac:dyDescent="0.2">
      <c r="BF1581" s="86" t="e">
        <f t="shared" si="98"/>
        <v>#NUM!</v>
      </c>
    </row>
    <row r="1582" spans="58:58" x14ac:dyDescent="0.2">
      <c r="BF1582" s="86" t="e">
        <f t="shared" si="98"/>
        <v>#NUM!</v>
      </c>
    </row>
    <row r="1583" spans="58:58" x14ac:dyDescent="0.2">
      <c r="BF1583" s="86" t="e">
        <f t="shared" si="98"/>
        <v>#NUM!</v>
      </c>
    </row>
    <row r="1584" spans="58:58" x14ac:dyDescent="0.2">
      <c r="BF1584" s="86" t="e">
        <f t="shared" si="98"/>
        <v>#NUM!</v>
      </c>
    </row>
    <row r="1585" spans="58:58" x14ac:dyDescent="0.2">
      <c r="BF1585" s="86" t="e">
        <f t="shared" si="98"/>
        <v>#NUM!</v>
      </c>
    </row>
    <row r="1586" spans="58:58" x14ac:dyDescent="0.2">
      <c r="BF1586" s="86" t="e">
        <f t="shared" si="98"/>
        <v>#NUM!</v>
      </c>
    </row>
    <row r="1587" spans="58:58" x14ac:dyDescent="0.2">
      <c r="BF1587" s="86" t="e">
        <f t="shared" si="98"/>
        <v>#NUM!</v>
      </c>
    </row>
    <row r="1588" spans="58:58" x14ac:dyDescent="0.2">
      <c r="BF1588" s="86" t="e">
        <f t="shared" si="98"/>
        <v>#NUM!</v>
      </c>
    </row>
    <row r="1589" spans="58:58" x14ac:dyDescent="0.2">
      <c r="BF1589" s="86" t="e">
        <f t="shared" si="98"/>
        <v>#NUM!</v>
      </c>
    </row>
    <row r="1590" spans="58:58" x14ac:dyDescent="0.2">
      <c r="BF1590" s="86" t="e">
        <f t="shared" si="98"/>
        <v>#NUM!</v>
      </c>
    </row>
    <row r="1591" spans="58:58" x14ac:dyDescent="0.2">
      <c r="BF1591" s="86" t="e">
        <f t="shared" si="98"/>
        <v>#NUM!</v>
      </c>
    </row>
    <row r="1592" spans="58:58" x14ac:dyDescent="0.2">
      <c r="BF1592" s="86" t="e">
        <f t="shared" si="98"/>
        <v>#NUM!</v>
      </c>
    </row>
    <row r="1593" spans="58:58" x14ac:dyDescent="0.2">
      <c r="BF1593" s="86" t="e">
        <f t="shared" si="98"/>
        <v>#NUM!</v>
      </c>
    </row>
    <row r="1594" spans="58:58" x14ac:dyDescent="0.2">
      <c r="BF1594" s="86" t="e">
        <f t="shared" si="98"/>
        <v>#NUM!</v>
      </c>
    </row>
    <row r="1595" spans="58:58" x14ac:dyDescent="0.2">
      <c r="BF1595" s="86" t="e">
        <f t="shared" si="98"/>
        <v>#NUM!</v>
      </c>
    </row>
    <row r="1596" spans="58:58" x14ac:dyDescent="0.2">
      <c r="BF1596" s="86" t="e">
        <f t="shared" si="98"/>
        <v>#NUM!</v>
      </c>
    </row>
    <row r="1597" spans="58:58" x14ac:dyDescent="0.2">
      <c r="BF1597" s="86" t="e">
        <f t="shared" si="98"/>
        <v>#NUM!</v>
      </c>
    </row>
    <row r="1598" spans="58:58" x14ac:dyDescent="0.2">
      <c r="BF1598" s="86" t="e">
        <f t="shared" si="98"/>
        <v>#NUM!</v>
      </c>
    </row>
    <row r="1599" spans="58:58" x14ac:dyDescent="0.2">
      <c r="BF1599" s="86" t="e">
        <f t="shared" si="98"/>
        <v>#NUM!</v>
      </c>
    </row>
    <row r="1600" spans="58:58" x14ac:dyDescent="0.2">
      <c r="BF1600" s="86" t="e">
        <f t="shared" si="98"/>
        <v>#NUM!</v>
      </c>
    </row>
    <row r="1601" spans="58:58" x14ac:dyDescent="0.2">
      <c r="BF1601" s="86" t="e">
        <f t="shared" si="98"/>
        <v>#NUM!</v>
      </c>
    </row>
    <row r="1602" spans="58:58" x14ac:dyDescent="0.2">
      <c r="BF1602" s="86" t="e">
        <f t="shared" si="98"/>
        <v>#NUM!</v>
      </c>
    </row>
    <row r="1603" spans="58:58" x14ac:dyDescent="0.2">
      <c r="BF1603" s="86" t="e">
        <f t="shared" si="98"/>
        <v>#NUM!</v>
      </c>
    </row>
    <row r="1604" spans="58:58" x14ac:dyDescent="0.2">
      <c r="BF1604" s="86" t="e">
        <f t="shared" si="98"/>
        <v>#NUM!</v>
      </c>
    </row>
    <row r="1605" spans="58:58" x14ac:dyDescent="0.2">
      <c r="BF1605" s="86" t="e">
        <f t="shared" si="98"/>
        <v>#NUM!</v>
      </c>
    </row>
    <row r="1606" spans="58:58" x14ac:dyDescent="0.2">
      <c r="BF1606" s="86" t="e">
        <f t="shared" si="98"/>
        <v>#NUM!</v>
      </c>
    </row>
    <row r="1607" spans="58:58" x14ac:dyDescent="0.2">
      <c r="BF1607" s="86" t="e">
        <f t="shared" si="98"/>
        <v>#NUM!</v>
      </c>
    </row>
    <row r="1608" spans="58:58" x14ac:dyDescent="0.2">
      <c r="BF1608" s="86" t="e">
        <f t="shared" si="98"/>
        <v>#NUM!</v>
      </c>
    </row>
    <row r="1609" spans="58:58" x14ac:dyDescent="0.2">
      <c r="BF1609" s="86" t="e">
        <f t="shared" si="98"/>
        <v>#NUM!</v>
      </c>
    </row>
    <row r="1610" spans="58:58" x14ac:dyDescent="0.2">
      <c r="BF1610" s="86" t="e">
        <f t="shared" si="98"/>
        <v>#NUM!</v>
      </c>
    </row>
    <row r="1611" spans="58:58" x14ac:dyDescent="0.2">
      <c r="BF1611" s="86" t="e">
        <f t="shared" si="98"/>
        <v>#NUM!</v>
      </c>
    </row>
    <row r="1612" spans="58:58" x14ac:dyDescent="0.2">
      <c r="BF1612" s="86" t="e">
        <f t="shared" si="98"/>
        <v>#NUM!</v>
      </c>
    </row>
    <row r="1613" spans="58:58" x14ac:dyDescent="0.2">
      <c r="BF1613" s="86" t="e">
        <f t="shared" si="98"/>
        <v>#NUM!</v>
      </c>
    </row>
    <row r="1614" spans="58:58" x14ac:dyDescent="0.2">
      <c r="BF1614" s="86" t="e">
        <f t="shared" si="98"/>
        <v>#NUM!</v>
      </c>
    </row>
    <row r="1615" spans="58:58" x14ac:dyDescent="0.2">
      <c r="BF1615" s="86" t="e">
        <f t="shared" si="98"/>
        <v>#NUM!</v>
      </c>
    </row>
    <row r="1616" spans="58:58" x14ac:dyDescent="0.2">
      <c r="BF1616" s="86" t="e">
        <f t="shared" si="98"/>
        <v>#NUM!</v>
      </c>
    </row>
    <row r="1617" spans="58:58" x14ac:dyDescent="0.2">
      <c r="BF1617" s="86" t="e">
        <f t="shared" si="98"/>
        <v>#NUM!</v>
      </c>
    </row>
    <row r="1618" spans="58:58" x14ac:dyDescent="0.2">
      <c r="BF1618" s="86" t="e">
        <f t="shared" si="98"/>
        <v>#NUM!</v>
      </c>
    </row>
    <row r="1619" spans="58:58" x14ac:dyDescent="0.2">
      <c r="BF1619" s="86" t="e">
        <f t="shared" si="98"/>
        <v>#NUM!</v>
      </c>
    </row>
    <row r="1620" spans="58:58" x14ac:dyDescent="0.2">
      <c r="BF1620" s="86" t="e">
        <f t="shared" si="98"/>
        <v>#NUM!</v>
      </c>
    </row>
    <row r="1621" spans="58:58" x14ac:dyDescent="0.2">
      <c r="BF1621" s="86" t="e">
        <f t="shared" si="98"/>
        <v>#NUM!</v>
      </c>
    </row>
    <row r="1622" spans="58:58" x14ac:dyDescent="0.2">
      <c r="BF1622" s="86" t="e">
        <f t="shared" si="98"/>
        <v>#NUM!</v>
      </c>
    </row>
    <row r="1623" spans="58:58" x14ac:dyDescent="0.2">
      <c r="BF1623" s="86" t="e">
        <f t="shared" si="98"/>
        <v>#NUM!</v>
      </c>
    </row>
    <row r="1624" spans="58:58" x14ac:dyDescent="0.2">
      <c r="BF1624" s="86" t="e">
        <f t="shared" si="98"/>
        <v>#NUM!</v>
      </c>
    </row>
    <row r="1625" spans="58:58" x14ac:dyDescent="0.2">
      <c r="BF1625" s="86" t="e">
        <f t="shared" si="98"/>
        <v>#NUM!</v>
      </c>
    </row>
    <row r="1626" spans="58:58" x14ac:dyDescent="0.2">
      <c r="BF1626" s="86" t="e">
        <f t="shared" si="98"/>
        <v>#NUM!</v>
      </c>
    </row>
    <row r="1627" spans="58:58" x14ac:dyDescent="0.2">
      <c r="BF1627" s="86" t="e">
        <f t="shared" si="98"/>
        <v>#NUM!</v>
      </c>
    </row>
    <row r="1628" spans="58:58" x14ac:dyDescent="0.2">
      <c r="BF1628" s="86" t="e">
        <f t="shared" si="98"/>
        <v>#NUM!</v>
      </c>
    </row>
    <row r="1629" spans="58:58" x14ac:dyDescent="0.2">
      <c r="BF1629" s="86" t="e">
        <f t="shared" si="98"/>
        <v>#NUM!</v>
      </c>
    </row>
    <row r="1630" spans="58:58" x14ac:dyDescent="0.2">
      <c r="BF1630" s="86" t="e">
        <f t="shared" si="98"/>
        <v>#NUM!</v>
      </c>
    </row>
    <row r="1631" spans="58:58" x14ac:dyDescent="0.2">
      <c r="BF1631" s="86" t="e">
        <f t="shared" si="98"/>
        <v>#NUM!</v>
      </c>
    </row>
    <row r="1632" spans="58:58" x14ac:dyDescent="0.2">
      <c r="BF1632" s="86" t="e">
        <f t="shared" si="98"/>
        <v>#NUM!</v>
      </c>
    </row>
    <row r="1633" spans="58:58" x14ac:dyDescent="0.2">
      <c r="BF1633" s="86" t="e">
        <f t="shared" si="98"/>
        <v>#NUM!</v>
      </c>
    </row>
    <row r="1634" spans="58:58" x14ac:dyDescent="0.2">
      <c r="BF1634" s="86" t="e">
        <f t="shared" si="98"/>
        <v>#NUM!</v>
      </c>
    </row>
    <row r="1635" spans="58:58" x14ac:dyDescent="0.2">
      <c r="BF1635" s="86" t="e">
        <f t="shared" si="98"/>
        <v>#NUM!</v>
      </c>
    </row>
    <row r="1636" spans="58:58" x14ac:dyDescent="0.2">
      <c r="BF1636" s="86" t="e">
        <f t="shared" si="98"/>
        <v>#NUM!</v>
      </c>
    </row>
    <row r="1637" spans="58:58" x14ac:dyDescent="0.2">
      <c r="BF1637" s="86" t="e">
        <f t="shared" si="98"/>
        <v>#NUM!</v>
      </c>
    </row>
    <row r="1638" spans="58:58" x14ac:dyDescent="0.2">
      <c r="BF1638" s="86" t="e">
        <f t="shared" ref="BF1638:BF1701" si="99">MEDIAN(BH1638:BU1638)</f>
        <v>#NUM!</v>
      </c>
    </row>
    <row r="1639" spans="58:58" x14ac:dyDescent="0.2">
      <c r="BF1639" s="86" t="e">
        <f t="shared" si="99"/>
        <v>#NUM!</v>
      </c>
    </row>
    <row r="1640" spans="58:58" x14ac:dyDescent="0.2">
      <c r="BF1640" s="86" t="e">
        <f t="shared" si="99"/>
        <v>#NUM!</v>
      </c>
    </row>
    <row r="1641" spans="58:58" x14ac:dyDescent="0.2">
      <c r="BF1641" s="86" t="e">
        <f t="shared" si="99"/>
        <v>#NUM!</v>
      </c>
    </row>
    <row r="1642" spans="58:58" x14ac:dyDescent="0.2">
      <c r="BF1642" s="86" t="e">
        <f t="shared" si="99"/>
        <v>#NUM!</v>
      </c>
    </row>
    <row r="1643" spans="58:58" x14ac:dyDescent="0.2">
      <c r="BF1643" s="86" t="e">
        <f t="shared" si="99"/>
        <v>#NUM!</v>
      </c>
    </row>
    <row r="1644" spans="58:58" x14ac:dyDescent="0.2">
      <c r="BF1644" s="86" t="e">
        <f t="shared" si="99"/>
        <v>#NUM!</v>
      </c>
    </row>
    <row r="1645" spans="58:58" x14ac:dyDescent="0.2">
      <c r="BF1645" s="86" t="e">
        <f t="shared" si="99"/>
        <v>#NUM!</v>
      </c>
    </row>
    <row r="1646" spans="58:58" x14ac:dyDescent="0.2">
      <c r="BF1646" s="86" t="e">
        <f t="shared" si="99"/>
        <v>#NUM!</v>
      </c>
    </row>
    <row r="1647" spans="58:58" x14ac:dyDescent="0.2">
      <c r="BF1647" s="86" t="e">
        <f t="shared" si="99"/>
        <v>#NUM!</v>
      </c>
    </row>
    <row r="1648" spans="58:58" x14ac:dyDescent="0.2">
      <c r="BF1648" s="86" t="e">
        <f t="shared" si="99"/>
        <v>#NUM!</v>
      </c>
    </row>
    <row r="1649" spans="58:58" x14ac:dyDescent="0.2">
      <c r="BF1649" s="86" t="e">
        <f t="shared" si="99"/>
        <v>#NUM!</v>
      </c>
    </row>
    <row r="1650" spans="58:58" x14ac:dyDescent="0.2">
      <c r="BF1650" s="86" t="e">
        <f t="shared" si="99"/>
        <v>#NUM!</v>
      </c>
    </row>
    <row r="1651" spans="58:58" x14ac:dyDescent="0.2">
      <c r="BF1651" s="86" t="e">
        <f t="shared" si="99"/>
        <v>#NUM!</v>
      </c>
    </row>
    <row r="1652" spans="58:58" x14ac:dyDescent="0.2">
      <c r="BF1652" s="86" t="e">
        <f t="shared" si="99"/>
        <v>#NUM!</v>
      </c>
    </row>
    <row r="1653" spans="58:58" x14ac:dyDescent="0.2">
      <c r="BF1653" s="86" t="e">
        <f t="shared" si="99"/>
        <v>#NUM!</v>
      </c>
    </row>
    <row r="1654" spans="58:58" x14ac:dyDescent="0.2">
      <c r="BF1654" s="86" t="e">
        <f t="shared" si="99"/>
        <v>#NUM!</v>
      </c>
    </row>
    <row r="1655" spans="58:58" x14ac:dyDescent="0.2">
      <c r="BF1655" s="86" t="e">
        <f t="shared" si="99"/>
        <v>#NUM!</v>
      </c>
    </row>
    <row r="1656" spans="58:58" x14ac:dyDescent="0.2">
      <c r="BF1656" s="86" t="e">
        <f t="shared" si="99"/>
        <v>#NUM!</v>
      </c>
    </row>
    <row r="1657" spans="58:58" x14ac:dyDescent="0.2">
      <c r="BF1657" s="86" t="e">
        <f t="shared" si="99"/>
        <v>#NUM!</v>
      </c>
    </row>
    <row r="1658" spans="58:58" x14ac:dyDescent="0.2">
      <c r="BF1658" s="86" t="e">
        <f t="shared" si="99"/>
        <v>#NUM!</v>
      </c>
    </row>
    <row r="1659" spans="58:58" x14ac:dyDescent="0.2">
      <c r="BF1659" s="86" t="e">
        <f t="shared" si="99"/>
        <v>#NUM!</v>
      </c>
    </row>
    <row r="1660" spans="58:58" x14ac:dyDescent="0.2">
      <c r="BF1660" s="86" t="e">
        <f t="shared" si="99"/>
        <v>#NUM!</v>
      </c>
    </row>
    <row r="1661" spans="58:58" x14ac:dyDescent="0.2">
      <c r="BF1661" s="86" t="e">
        <f t="shared" si="99"/>
        <v>#NUM!</v>
      </c>
    </row>
    <row r="1662" spans="58:58" x14ac:dyDescent="0.2">
      <c r="BF1662" s="86" t="e">
        <f t="shared" si="99"/>
        <v>#NUM!</v>
      </c>
    </row>
    <row r="1663" spans="58:58" x14ac:dyDescent="0.2">
      <c r="BF1663" s="86" t="e">
        <f t="shared" si="99"/>
        <v>#NUM!</v>
      </c>
    </row>
    <row r="1664" spans="58:58" x14ac:dyDescent="0.2">
      <c r="BF1664" s="86" t="e">
        <f t="shared" si="99"/>
        <v>#NUM!</v>
      </c>
    </row>
    <row r="1665" spans="58:58" x14ac:dyDescent="0.2">
      <c r="BF1665" s="86" t="e">
        <f t="shared" si="99"/>
        <v>#NUM!</v>
      </c>
    </row>
    <row r="1666" spans="58:58" x14ac:dyDescent="0.2">
      <c r="BF1666" s="86" t="e">
        <f t="shared" si="99"/>
        <v>#NUM!</v>
      </c>
    </row>
    <row r="1667" spans="58:58" x14ac:dyDescent="0.2">
      <c r="BF1667" s="86" t="e">
        <f t="shared" si="99"/>
        <v>#NUM!</v>
      </c>
    </row>
    <row r="1668" spans="58:58" x14ac:dyDescent="0.2">
      <c r="BF1668" s="86" t="e">
        <f t="shared" si="99"/>
        <v>#NUM!</v>
      </c>
    </row>
    <row r="1669" spans="58:58" x14ac:dyDescent="0.2">
      <c r="BF1669" s="86" t="e">
        <f t="shared" si="99"/>
        <v>#NUM!</v>
      </c>
    </row>
    <row r="1670" spans="58:58" x14ac:dyDescent="0.2">
      <c r="BF1670" s="86" t="e">
        <f t="shared" si="99"/>
        <v>#NUM!</v>
      </c>
    </row>
    <row r="1671" spans="58:58" x14ac:dyDescent="0.2">
      <c r="BF1671" s="86" t="e">
        <f t="shared" si="99"/>
        <v>#NUM!</v>
      </c>
    </row>
    <row r="1672" spans="58:58" x14ac:dyDescent="0.2">
      <c r="BF1672" s="86" t="e">
        <f t="shared" si="99"/>
        <v>#NUM!</v>
      </c>
    </row>
    <row r="1673" spans="58:58" x14ac:dyDescent="0.2">
      <c r="BF1673" s="86" t="e">
        <f t="shared" si="99"/>
        <v>#NUM!</v>
      </c>
    </row>
    <row r="1674" spans="58:58" x14ac:dyDescent="0.2">
      <c r="BF1674" s="86" t="e">
        <f t="shared" si="99"/>
        <v>#NUM!</v>
      </c>
    </row>
    <row r="1675" spans="58:58" x14ac:dyDescent="0.2">
      <c r="BF1675" s="86" t="e">
        <f t="shared" si="99"/>
        <v>#NUM!</v>
      </c>
    </row>
    <row r="1676" spans="58:58" x14ac:dyDescent="0.2">
      <c r="BF1676" s="86" t="e">
        <f t="shared" si="99"/>
        <v>#NUM!</v>
      </c>
    </row>
    <row r="1677" spans="58:58" x14ac:dyDescent="0.2">
      <c r="BF1677" s="86" t="e">
        <f t="shared" si="99"/>
        <v>#NUM!</v>
      </c>
    </row>
    <row r="1678" spans="58:58" x14ac:dyDescent="0.2">
      <c r="BF1678" s="86" t="e">
        <f t="shared" si="99"/>
        <v>#NUM!</v>
      </c>
    </row>
    <row r="1679" spans="58:58" x14ac:dyDescent="0.2">
      <c r="BF1679" s="86" t="e">
        <f t="shared" si="99"/>
        <v>#NUM!</v>
      </c>
    </row>
    <row r="1680" spans="58:58" x14ac:dyDescent="0.2">
      <c r="BF1680" s="86" t="e">
        <f t="shared" si="99"/>
        <v>#NUM!</v>
      </c>
    </row>
    <row r="1681" spans="58:58" x14ac:dyDescent="0.2">
      <c r="BF1681" s="86" t="e">
        <f t="shared" si="99"/>
        <v>#NUM!</v>
      </c>
    </row>
    <row r="1682" spans="58:58" x14ac:dyDescent="0.2">
      <c r="BF1682" s="86" t="e">
        <f t="shared" si="99"/>
        <v>#NUM!</v>
      </c>
    </row>
    <row r="1683" spans="58:58" x14ac:dyDescent="0.2">
      <c r="BF1683" s="86" t="e">
        <f t="shared" si="99"/>
        <v>#NUM!</v>
      </c>
    </row>
    <row r="1684" spans="58:58" x14ac:dyDescent="0.2">
      <c r="BF1684" s="86" t="e">
        <f t="shared" si="99"/>
        <v>#NUM!</v>
      </c>
    </row>
    <row r="1685" spans="58:58" x14ac:dyDescent="0.2">
      <c r="BF1685" s="86" t="e">
        <f t="shared" si="99"/>
        <v>#NUM!</v>
      </c>
    </row>
    <row r="1686" spans="58:58" x14ac:dyDescent="0.2">
      <c r="BF1686" s="86" t="e">
        <f t="shared" si="99"/>
        <v>#NUM!</v>
      </c>
    </row>
    <row r="1687" spans="58:58" x14ac:dyDescent="0.2">
      <c r="BF1687" s="86" t="e">
        <f t="shared" si="99"/>
        <v>#NUM!</v>
      </c>
    </row>
    <row r="1688" spans="58:58" x14ac:dyDescent="0.2">
      <c r="BF1688" s="86" t="e">
        <f t="shared" si="99"/>
        <v>#NUM!</v>
      </c>
    </row>
    <row r="1689" spans="58:58" x14ac:dyDescent="0.2">
      <c r="BF1689" s="86" t="e">
        <f t="shared" si="99"/>
        <v>#NUM!</v>
      </c>
    </row>
    <row r="1690" spans="58:58" x14ac:dyDescent="0.2">
      <c r="BF1690" s="86" t="e">
        <f t="shared" si="99"/>
        <v>#NUM!</v>
      </c>
    </row>
    <row r="1691" spans="58:58" x14ac:dyDescent="0.2">
      <c r="BF1691" s="86" t="e">
        <f t="shared" si="99"/>
        <v>#NUM!</v>
      </c>
    </row>
    <row r="1692" spans="58:58" x14ac:dyDescent="0.2">
      <c r="BF1692" s="86" t="e">
        <f t="shared" si="99"/>
        <v>#NUM!</v>
      </c>
    </row>
    <row r="1693" spans="58:58" x14ac:dyDescent="0.2">
      <c r="BF1693" s="86" t="e">
        <f t="shared" si="99"/>
        <v>#NUM!</v>
      </c>
    </row>
    <row r="1694" spans="58:58" x14ac:dyDescent="0.2">
      <c r="BF1694" s="86" t="e">
        <f t="shared" si="99"/>
        <v>#NUM!</v>
      </c>
    </row>
    <row r="1695" spans="58:58" x14ac:dyDescent="0.2">
      <c r="BF1695" s="86" t="e">
        <f t="shared" si="99"/>
        <v>#NUM!</v>
      </c>
    </row>
    <row r="1696" spans="58:58" x14ac:dyDescent="0.2">
      <c r="BF1696" s="86" t="e">
        <f t="shared" si="99"/>
        <v>#NUM!</v>
      </c>
    </row>
    <row r="1697" spans="58:58" x14ac:dyDescent="0.2">
      <c r="BF1697" s="86" t="e">
        <f t="shared" si="99"/>
        <v>#NUM!</v>
      </c>
    </row>
    <row r="1698" spans="58:58" x14ac:dyDescent="0.2">
      <c r="BF1698" s="86" t="e">
        <f t="shared" si="99"/>
        <v>#NUM!</v>
      </c>
    </row>
    <row r="1699" spans="58:58" x14ac:dyDescent="0.2">
      <c r="BF1699" s="86" t="e">
        <f t="shared" si="99"/>
        <v>#NUM!</v>
      </c>
    </row>
    <row r="1700" spans="58:58" x14ac:dyDescent="0.2">
      <c r="BF1700" s="86" t="e">
        <f t="shared" si="99"/>
        <v>#NUM!</v>
      </c>
    </row>
    <row r="1701" spans="58:58" x14ac:dyDescent="0.2">
      <c r="BF1701" s="86" t="e">
        <f t="shared" si="99"/>
        <v>#NUM!</v>
      </c>
    </row>
    <row r="1702" spans="58:58" x14ac:dyDescent="0.2">
      <c r="BF1702" s="86" t="e">
        <f t="shared" ref="BF1702:BF1765" si="100">MEDIAN(BH1702:BU1702)</f>
        <v>#NUM!</v>
      </c>
    </row>
    <row r="1703" spans="58:58" x14ac:dyDescent="0.2">
      <c r="BF1703" s="86" t="e">
        <f t="shared" si="100"/>
        <v>#NUM!</v>
      </c>
    </row>
    <row r="1704" spans="58:58" x14ac:dyDescent="0.2">
      <c r="BF1704" s="86" t="e">
        <f t="shared" si="100"/>
        <v>#NUM!</v>
      </c>
    </row>
    <row r="1705" spans="58:58" x14ac:dyDescent="0.2">
      <c r="BF1705" s="86" t="e">
        <f t="shared" si="100"/>
        <v>#NUM!</v>
      </c>
    </row>
    <row r="1706" spans="58:58" x14ac:dyDescent="0.2">
      <c r="BF1706" s="86" t="e">
        <f t="shared" si="100"/>
        <v>#NUM!</v>
      </c>
    </row>
    <row r="1707" spans="58:58" x14ac:dyDescent="0.2">
      <c r="BF1707" s="86" t="e">
        <f t="shared" si="100"/>
        <v>#NUM!</v>
      </c>
    </row>
    <row r="1708" spans="58:58" x14ac:dyDescent="0.2">
      <c r="BF1708" s="86" t="e">
        <f t="shared" si="100"/>
        <v>#NUM!</v>
      </c>
    </row>
    <row r="1709" spans="58:58" x14ac:dyDescent="0.2">
      <c r="BF1709" s="86" t="e">
        <f t="shared" si="100"/>
        <v>#NUM!</v>
      </c>
    </row>
    <row r="1710" spans="58:58" x14ac:dyDescent="0.2">
      <c r="BF1710" s="86" t="e">
        <f t="shared" si="100"/>
        <v>#NUM!</v>
      </c>
    </row>
    <row r="1711" spans="58:58" x14ac:dyDescent="0.2">
      <c r="BF1711" s="86" t="e">
        <f t="shared" si="100"/>
        <v>#NUM!</v>
      </c>
    </row>
    <row r="1712" spans="58:58" x14ac:dyDescent="0.2">
      <c r="BF1712" s="86" t="e">
        <f t="shared" si="100"/>
        <v>#NUM!</v>
      </c>
    </row>
    <row r="1713" spans="58:58" x14ac:dyDescent="0.2">
      <c r="BF1713" s="86" t="e">
        <f t="shared" si="100"/>
        <v>#NUM!</v>
      </c>
    </row>
    <row r="1714" spans="58:58" x14ac:dyDescent="0.2">
      <c r="BF1714" s="86" t="e">
        <f t="shared" si="100"/>
        <v>#NUM!</v>
      </c>
    </row>
    <row r="1715" spans="58:58" x14ac:dyDescent="0.2">
      <c r="BF1715" s="86" t="e">
        <f t="shared" si="100"/>
        <v>#NUM!</v>
      </c>
    </row>
    <row r="1716" spans="58:58" x14ac:dyDescent="0.2">
      <c r="BF1716" s="86" t="e">
        <f t="shared" si="100"/>
        <v>#NUM!</v>
      </c>
    </row>
    <row r="1717" spans="58:58" x14ac:dyDescent="0.2">
      <c r="BF1717" s="86" t="e">
        <f t="shared" si="100"/>
        <v>#NUM!</v>
      </c>
    </row>
    <row r="1718" spans="58:58" x14ac:dyDescent="0.2">
      <c r="BF1718" s="86" t="e">
        <f t="shared" si="100"/>
        <v>#NUM!</v>
      </c>
    </row>
    <row r="1719" spans="58:58" x14ac:dyDescent="0.2">
      <c r="BF1719" s="86" t="e">
        <f t="shared" si="100"/>
        <v>#NUM!</v>
      </c>
    </row>
    <row r="1720" spans="58:58" x14ac:dyDescent="0.2">
      <c r="BF1720" s="86" t="e">
        <f t="shared" si="100"/>
        <v>#NUM!</v>
      </c>
    </row>
    <row r="1721" spans="58:58" x14ac:dyDescent="0.2">
      <c r="BF1721" s="86" t="e">
        <f t="shared" si="100"/>
        <v>#NUM!</v>
      </c>
    </row>
    <row r="1722" spans="58:58" x14ac:dyDescent="0.2">
      <c r="BF1722" s="86" t="e">
        <f t="shared" si="100"/>
        <v>#NUM!</v>
      </c>
    </row>
    <row r="1723" spans="58:58" x14ac:dyDescent="0.2">
      <c r="BF1723" s="86" t="e">
        <f t="shared" si="100"/>
        <v>#NUM!</v>
      </c>
    </row>
    <row r="1724" spans="58:58" x14ac:dyDescent="0.2">
      <c r="BF1724" s="86" t="e">
        <f t="shared" si="100"/>
        <v>#NUM!</v>
      </c>
    </row>
    <row r="1725" spans="58:58" x14ac:dyDescent="0.2">
      <c r="BF1725" s="86" t="e">
        <f t="shared" si="100"/>
        <v>#NUM!</v>
      </c>
    </row>
    <row r="1726" spans="58:58" x14ac:dyDescent="0.2">
      <c r="BF1726" s="86" t="e">
        <f t="shared" si="100"/>
        <v>#NUM!</v>
      </c>
    </row>
    <row r="1727" spans="58:58" x14ac:dyDescent="0.2">
      <c r="BF1727" s="86" t="e">
        <f t="shared" si="100"/>
        <v>#NUM!</v>
      </c>
    </row>
    <row r="1728" spans="58:58" x14ac:dyDescent="0.2">
      <c r="BF1728" s="86" t="e">
        <f t="shared" si="100"/>
        <v>#NUM!</v>
      </c>
    </row>
    <row r="1729" spans="58:58" x14ac:dyDescent="0.2">
      <c r="BF1729" s="86" t="e">
        <f t="shared" si="100"/>
        <v>#NUM!</v>
      </c>
    </row>
    <row r="1730" spans="58:58" x14ac:dyDescent="0.2">
      <c r="BF1730" s="86" t="e">
        <f t="shared" si="100"/>
        <v>#NUM!</v>
      </c>
    </row>
    <row r="1731" spans="58:58" x14ac:dyDescent="0.2">
      <c r="BF1731" s="86" t="e">
        <f t="shared" si="100"/>
        <v>#NUM!</v>
      </c>
    </row>
    <row r="1732" spans="58:58" x14ac:dyDescent="0.2">
      <c r="BF1732" s="86" t="e">
        <f t="shared" si="100"/>
        <v>#NUM!</v>
      </c>
    </row>
    <row r="1733" spans="58:58" x14ac:dyDescent="0.2">
      <c r="BF1733" s="86" t="e">
        <f t="shared" si="100"/>
        <v>#NUM!</v>
      </c>
    </row>
    <row r="1734" spans="58:58" x14ac:dyDescent="0.2">
      <c r="BF1734" s="86" t="e">
        <f t="shared" si="100"/>
        <v>#NUM!</v>
      </c>
    </row>
    <row r="1735" spans="58:58" x14ac:dyDescent="0.2">
      <c r="BF1735" s="86" t="e">
        <f t="shared" si="100"/>
        <v>#NUM!</v>
      </c>
    </row>
    <row r="1736" spans="58:58" x14ac:dyDescent="0.2">
      <c r="BF1736" s="86" t="e">
        <f t="shared" si="100"/>
        <v>#NUM!</v>
      </c>
    </row>
    <row r="1737" spans="58:58" x14ac:dyDescent="0.2">
      <c r="BF1737" s="86" t="e">
        <f t="shared" si="100"/>
        <v>#NUM!</v>
      </c>
    </row>
    <row r="1738" spans="58:58" x14ac:dyDescent="0.2">
      <c r="BF1738" s="86" t="e">
        <f t="shared" si="100"/>
        <v>#NUM!</v>
      </c>
    </row>
    <row r="1739" spans="58:58" x14ac:dyDescent="0.2">
      <c r="BF1739" s="86" t="e">
        <f t="shared" si="100"/>
        <v>#NUM!</v>
      </c>
    </row>
    <row r="1740" spans="58:58" x14ac:dyDescent="0.2">
      <c r="BF1740" s="86" t="e">
        <f t="shared" si="100"/>
        <v>#NUM!</v>
      </c>
    </row>
    <row r="1741" spans="58:58" x14ac:dyDescent="0.2">
      <c r="BF1741" s="86" t="e">
        <f t="shared" si="100"/>
        <v>#NUM!</v>
      </c>
    </row>
    <row r="1742" spans="58:58" x14ac:dyDescent="0.2">
      <c r="BF1742" s="86" t="e">
        <f t="shared" si="100"/>
        <v>#NUM!</v>
      </c>
    </row>
    <row r="1743" spans="58:58" x14ac:dyDescent="0.2">
      <c r="BF1743" s="86" t="e">
        <f t="shared" si="100"/>
        <v>#NUM!</v>
      </c>
    </row>
    <row r="1744" spans="58:58" x14ac:dyDescent="0.2">
      <c r="BF1744" s="86" t="e">
        <f t="shared" si="100"/>
        <v>#NUM!</v>
      </c>
    </row>
    <row r="1745" spans="58:58" x14ac:dyDescent="0.2">
      <c r="BF1745" s="86" t="e">
        <f t="shared" si="100"/>
        <v>#NUM!</v>
      </c>
    </row>
    <row r="1746" spans="58:58" x14ac:dyDescent="0.2">
      <c r="BF1746" s="86" t="e">
        <f t="shared" si="100"/>
        <v>#NUM!</v>
      </c>
    </row>
    <row r="1747" spans="58:58" x14ac:dyDescent="0.2">
      <c r="BF1747" s="86" t="e">
        <f t="shared" si="100"/>
        <v>#NUM!</v>
      </c>
    </row>
    <row r="1748" spans="58:58" x14ac:dyDescent="0.2">
      <c r="BF1748" s="86" t="e">
        <f t="shared" si="100"/>
        <v>#NUM!</v>
      </c>
    </row>
    <row r="1749" spans="58:58" x14ac:dyDescent="0.2">
      <c r="BF1749" s="86" t="e">
        <f t="shared" si="100"/>
        <v>#NUM!</v>
      </c>
    </row>
    <row r="1750" spans="58:58" x14ac:dyDescent="0.2">
      <c r="BF1750" s="86" t="e">
        <f t="shared" si="100"/>
        <v>#NUM!</v>
      </c>
    </row>
    <row r="1751" spans="58:58" x14ac:dyDescent="0.2">
      <c r="BF1751" s="86" t="e">
        <f t="shared" si="100"/>
        <v>#NUM!</v>
      </c>
    </row>
    <row r="1752" spans="58:58" x14ac:dyDescent="0.2">
      <c r="BF1752" s="86" t="e">
        <f t="shared" si="100"/>
        <v>#NUM!</v>
      </c>
    </row>
    <row r="1753" spans="58:58" x14ac:dyDescent="0.2">
      <c r="BF1753" s="86" t="e">
        <f t="shared" si="100"/>
        <v>#NUM!</v>
      </c>
    </row>
    <row r="1754" spans="58:58" x14ac:dyDescent="0.2">
      <c r="BF1754" s="86" t="e">
        <f t="shared" si="100"/>
        <v>#NUM!</v>
      </c>
    </row>
    <row r="1755" spans="58:58" x14ac:dyDescent="0.2">
      <c r="BF1755" s="86" t="e">
        <f t="shared" si="100"/>
        <v>#NUM!</v>
      </c>
    </row>
    <row r="1756" spans="58:58" x14ac:dyDescent="0.2">
      <c r="BF1756" s="86" t="e">
        <f t="shared" si="100"/>
        <v>#NUM!</v>
      </c>
    </row>
    <row r="1757" spans="58:58" x14ac:dyDescent="0.2">
      <c r="BF1757" s="86" t="e">
        <f t="shared" si="100"/>
        <v>#NUM!</v>
      </c>
    </row>
    <row r="1758" spans="58:58" x14ac:dyDescent="0.2">
      <c r="BF1758" s="86" t="e">
        <f t="shared" si="100"/>
        <v>#NUM!</v>
      </c>
    </row>
    <row r="1759" spans="58:58" x14ac:dyDescent="0.2">
      <c r="BF1759" s="86" t="e">
        <f t="shared" si="100"/>
        <v>#NUM!</v>
      </c>
    </row>
    <row r="1760" spans="58:58" x14ac:dyDescent="0.2">
      <c r="BF1760" s="86" t="e">
        <f t="shared" si="100"/>
        <v>#NUM!</v>
      </c>
    </row>
    <row r="1761" spans="58:58" x14ac:dyDescent="0.2">
      <c r="BF1761" s="86" t="e">
        <f t="shared" si="100"/>
        <v>#NUM!</v>
      </c>
    </row>
    <row r="1762" spans="58:58" x14ac:dyDescent="0.2">
      <c r="BF1762" s="86" t="e">
        <f t="shared" si="100"/>
        <v>#NUM!</v>
      </c>
    </row>
    <row r="1763" spans="58:58" x14ac:dyDescent="0.2">
      <c r="BF1763" s="86" t="e">
        <f t="shared" si="100"/>
        <v>#NUM!</v>
      </c>
    </row>
    <row r="1764" spans="58:58" x14ac:dyDescent="0.2">
      <c r="BF1764" s="86" t="e">
        <f t="shared" si="100"/>
        <v>#NUM!</v>
      </c>
    </row>
    <row r="1765" spans="58:58" x14ac:dyDescent="0.2">
      <c r="BF1765" s="86" t="e">
        <f t="shared" si="100"/>
        <v>#NUM!</v>
      </c>
    </row>
    <row r="1766" spans="58:58" x14ac:dyDescent="0.2">
      <c r="BF1766" s="86" t="e">
        <f t="shared" ref="BF1766:BF1829" si="101">MEDIAN(BH1766:BU1766)</f>
        <v>#NUM!</v>
      </c>
    </row>
    <row r="1767" spans="58:58" x14ac:dyDescent="0.2">
      <c r="BF1767" s="86" t="e">
        <f t="shared" si="101"/>
        <v>#NUM!</v>
      </c>
    </row>
    <row r="1768" spans="58:58" x14ac:dyDescent="0.2">
      <c r="BF1768" s="86" t="e">
        <f t="shared" si="101"/>
        <v>#NUM!</v>
      </c>
    </row>
    <row r="1769" spans="58:58" x14ac:dyDescent="0.2">
      <c r="BF1769" s="86" t="e">
        <f t="shared" si="101"/>
        <v>#NUM!</v>
      </c>
    </row>
    <row r="1770" spans="58:58" x14ac:dyDescent="0.2">
      <c r="BF1770" s="86" t="e">
        <f t="shared" si="101"/>
        <v>#NUM!</v>
      </c>
    </row>
    <row r="1771" spans="58:58" x14ac:dyDescent="0.2">
      <c r="BF1771" s="86" t="e">
        <f t="shared" si="101"/>
        <v>#NUM!</v>
      </c>
    </row>
    <row r="1772" spans="58:58" x14ac:dyDescent="0.2">
      <c r="BF1772" s="86" t="e">
        <f t="shared" si="101"/>
        <v>#NUM!</v>
      </c>
    </row>
    <row r="1773" spans="58:58" x14ac:dyDescent="0.2">
      <c r="BF1773" s="86" t="e">
        <f t="shared" si="101"/>
        <v>#NUM!</v>
      </c>
    </row>
    <row r="1774" spans="58:58" x14ac:dyDescent="0.2">
      <c r="BF1774" s="86" t="e">
        <f t="shared" si="101"/>
        <v>#NUM!</v>
      </c>
    </row>
    <row r="1775" spans="58:58" x14ac:dyDescent="0.2">
      <c r="BF1775" s="86" t="e">
        <f t="shared" si="101"/>
        <v>#NUM!</v>
      </c>
    </row>
    <row r="1776" spans="58:58" x14ac:dyDescent="0.2">
      <c r="BF1776" s="86" t="e">
        <f t="shared" si="101"/>
        <v>#NUM!</v>
      </c>
    </row>
    <row r="1777" spans="58:58" x14ac:dyDescent="0.2">
      <c r="BF1777" s="86" t="e">
        <f t="shared" si="101"/>
        <v>#NUM!</v>
      </c>
    </row>
    <row r="1778" spans="58:58" x14ac:dyDescent="0.2">
      <c r="BF1778" s="86" t="e">
        <f t="shared" si="101"/>
        <v>#NUM!</v>
      </c>
    </row>
    <row r="1779" spans="58:58" x14ac:dyDescent="0.2">
      <c r="BF1779" s="86" t="e">
        <f t="shared" si="101"/>
        <v>#NUM!</v>
      </c>
    </row>
    <row r="1780" spans="58:58" x14ac:dyDescent="0.2">
      <c r="BF1780" s="86" t="e">
        <f t="shared" si="101"/>
        <v>#NUM!</v>
      </c>
    </row>
    <row r="1781" spans="58:58" x14ac:dyDescent="0.2">
      <c r="BF1781" s="86" t="e">
        <f t="shared" si="101"/>
        <v>#NUM!</v>
      </c>
    </row>
    <row r="1782" spans="58:58" x14ac:dyDescent="0.2">
      <c r="BF1782" s="86" t="e">
        <f t="shared" si="101"/>
        <v>#NUM!</v>
      </c>
    </row>
    <row r="1783" spans="58:58" x14ac:dyDescent="0.2">
      <c r="BF1783" s="86" t="e">
        <f t="shared" si="101"/>
        <v>#NUM!</v>
      </c>
    </row>
    <row r="1784" spans="58:58" x14ac:dyDescent="0.2">
      <c r="BF1784" s="86" t="e">
        <f t="shared" si="101"/>
        <v>#NUM!</v>
      </c>
    </row>
    <row r="1785" spans="58:58" x14ac:dyDescent="0.2">
      <c r="BF1785" s="86" t="e">
        <f t="shared" si="101"/>
        <v>#NUM!</v>
      </c>
    </row>
    <row r="1786" spans="58:58" x14ac:dyDescent="0.2">
      <c r="BF1786" s="86" t="e">
        <f t="shared" si="101"/>
        <v>#NUM!</v>
      </c>
    </row>
    <row r="1787" spans="58:58" x14ac:dyDescent="0.2">
      <c r="BF1787" s="86" t="e">
        <f t="shared" si="101"/>
        <v>#NUM!</v>
      </c>
    </row>
    <row r="1788" spans="58:58" x14ac:dyDescent="0.2">
      <c r="BF1788" s="86" t="e">
        <f t="shared" si="101"/>
        <v>#NUM!</v>
      </c>
    </row>
    <row r="1789" spans="58:58" x14ac:dyDescent="0.2">
      <c r="BF1789" s="86" t="e">
        <f t="shared" si="101"/>
        <v>#NUM!</v>
      </c>
    </row>
    <row r="1790" spans="58:58" x14ac:dyDescent="0.2">
      <c r="BF1790" s="86" t="e">
        <f t="shared" si="101"/>
        <v>#NUM!</v>
      </c>
    </row>
    <row r="1791" spans="58:58" x14ac:dyDescent="0.2">
      <c r="BF1791" s="86" t="e">
        <f t="shared" si="101"/>
        <v>#NUM!</v>
      </c>
    </row>
    <row r="1792" spans="58:58" x14ac:dyDescent="0.2">
      <c r="BF1792" s="86" t="e">
        <f t="shared" si="101"/>
        <v>#NUM!</v>
      </c>
    </row>
    <row r="1793" spans="58:58" x14ac:dyDescent="0.2">
      <c r="BF1793" s="86" t="e">
        <f t="shared" si="101"/>
        <v>#NUM!</v>
      </c>
    </row>
    <row r="1794" spans="58:58" x14ac:dyDescent="0.2">
      <c r="BF1794" s="86" t="e">
        <f t="shared" si="101"/>
        <v>#NUM!</v>
      </c>
    </row>
    <row r="1795" spans="58:58" x14ac:dyDescent="0.2">
      <c r="BF1795" s="86" t="e">
        <f t="shared" si="101"/>
        <v>#NUM!</v>
      </c>
    </row>
    <row r="1796" spans="58:58" x14ac:dyDescent="0.2">
      <c r="BF1796" s="86" t="e">
        <f t="shared" si="101"/>
        <v>#NUM!</v>
      </c>
    </row>
    <row r="1797" spans="58:58" x14ac:dyDescent="0.2">
      <c r="BF1797" s="86" t="e">
        <f t="shared" si="101"/>
        <v>#NUM!</v>
      </c>
    </row>
    <row r="1798" spans="58:58" x14ac:dyDescent="0.2">
      <c r="BF1798" s="86" t="e">
        <f t="shared" si="101"/>
        <v>#NUM!</v>
      </c>
    </row>
    <row r="1799" spans="58:58" x14ac:dyDescent="0.2">
      <c r="BF1799" s="86" t="e">
        <f t="shared" si="101"/>
        <v>#NUM!</v>
      </c>
    </row>
    <row r="1800" spans="58:58" x14ac:dyDescent="0.2">
      <c r="BF1800" s="86" t="e">
        <f t="shared" si="101"/>
        <v>#NUM!</v>
      </c>
    </row>
    <row r="1801" spans="58:58" x14ac:dyDescent="0.2">
      <c r="BF1801" s="86" t="e">
        <f t="shared" si="101"/>
        <v>#NUM!</v>
      </c>
    </row>
    <row r="1802" spans="58:58" x14ac:dyDescent="0.2">
      <c r="BF1802" s="86" t="e">
        <f t="shared" si="101"/>
        <v>#NUM!</v>
      </c>
    </row>
    <row r="1803" spans="58:58" x14ac:dyDescent="0.2">
      <c r="BF1803" s="86" t="e">
        <f t="shared" si="101"/>
        <v>#NUM!</v>
      </c>
    </row>
    <row r="1804" spans="58:58" x14ac:dyDescent="0.2">
      <c r="BF1804" s="86" t="e">
        <f t="shared" si="101"/>
        <v>#NUM!</v>
      </c>
    </row>
    <row r="1805" spans="58:58" x14ac:dyDescent="0.2">
      <c r="BF1805" s="86" t="e">
        <f t="shared" si="101"/>
        <v>#NUM!</v>
      </c>
    </row>
    <row r="1806" spans="58:58" x14ac:dyDescent="0.2">
      <c r="BF1806" s="86" t="e">
        <f t="shared" si="101"/>
        <v>#NUM!</v>
      </c>
    </row>
    <row r="1807" spans="58:58" x14ac:dyDescent="0.2">
      <c r="BF1807" s="86" t="e">
        <f t="shared" si="101"/>
        <v>#NUM!</v>
      </c>
    </row>
    <row r="1808" spans="58:58" x14ac:dyDescent="0.2">
      <c r="BF1808" s="86" t="e">
        <f t="shared" si="101"/>
        <v>#NUM!</v>
      </c>
    </row>
    <row r="1809" spans="58:58" x14ac:dyDescent="0.2">
      <c r="BF1809" s="86" t="e">
        <f t="shared" si="101"/>
        <v>#NUM!</v>
      </c>
    </row>
    <row r="1810" spans="58:58" x14ac:dyDescent="0.2">
      <c r="BF1810" s="86" t="e">
        <f t="shared" si="101"/>
        <v>#NUM!</v>
      </c>
    </row>
    <row r="1811" spans="58:58" x14ac:dyDescent="0.2">
      <c r="BF1811" s="86" t="e">
        <f t="shared" si="101"/>
        <v>#NUM!</v>
      </c>
    </row>
    <row r="1812" spans="58:58" x14ac:dyDescent="0.2">
      <c r="BF1812" s="86" t="e">
        <f t="shared" si="101"/>
        <v>#NUM!</v>
      </c>
    </row>
    <row r="1813" spans="58:58" x14ac:dyDescent="0.2">
      <c r="BF1813" s="86" t="e">
        <f t="shared" si="101"/>
        <v>#NUM!</v>
      </c>
    </row>
    <row r="1814" spans="58:58" x14ac:dyDescent="0.2">
      <c r="BF1814" s="86" t="e">
        <f t="shared" si="101"/>
        <v>#NUM!</v>
      </c>
    </row>
    <row r="1815" spans="58:58" x14ac:dyDescent="0.2">
      <c r="BF1815" s="86" t="e">
        <f t="shared" si="101"/>
        <v>#NUM!</v>
      </c>
    </row>
    <row r="1816" spans="58:58" x14ac:dyDescent="0.2">
      <c r="BF1816" s="86" t="e">
        <f t="shared" si="101"/>
        <v>#NUM!</v>
      </c>
    </row>
    <row r="1817" spans="58:58" x14ac:dyDescent="0.2">
      <c r="BF1817" s="86" t="e">
        <f t="shared" si="101"/>
        <v>#NUM!</v>
      </c>
    </row>
    <row r="1818" spans="58:58" x14ac:dyDescent="0.2">
      <c r="BF1818" s="86" t="e">
        <f t="shared" si="101"/>
        <v>#NUM!</v>
      </c>
    </row>
    <row r="1819" spans="58:58" x14ac:dyDescent="0.2">
      <c r="BF1819" s="86" t="e">
        <f t="shared" si="101"/>
        <v>#NUM!</v>
      </c>
    </row>
    <row r="1820" spans="58:58" x14ac:dyDescent="0.2">
      <c r="BF1820" s="86" t="e">
        <f t="shared" si="101"/>
        <v>#NUM!</v>
      </c>
    </row>
    <row r="1821" spans="58:58" x14ac:dyDescent="0.2">
      <c r="BF1821" s="86" t="e">
        <f t="shared" si="101"/>
        <v>#NUM!</v>
      </c>
    </row>
    <row r="1822" spans="58:58" x14ac:dyDescent="0.2">
      <c r="BF1822" s="86" t="e">
        <f t="shared" si="101"/>
        <v>#NUM!</v>
      </c>
    </row>
    <row r="1823" spans="58:58" x14ac:dyDescent="0.2">
      <c r="BF1823" s="86" t="e">
        <f t="shared" si="101"/>
        <v>#NUM!</v>
      </c>
    </row>
    <row r="1824" spans="58:58" x14ac:dyDescent="0.2">
      <c r="BF1824" s="86" t="e">
        <f t="shared" si="101"/>
        <v>#NUM!</v>
      </c>
    </row>
    <row r="1825" spans="58:58" x14ac:dyDescent="0.2">
      <c r="BF1825" s="86" t="e">
        <f t="shared" si="101"/>
        <v>#NUM!</v>
      </c>
    </row>
    <row r="1826" spans="58:58" x14ac:dyDescent="0.2">
      <c r="BF1826" s="86" t="e">
        <f t="shared" si="101"/>
        <v>#NUM!</v>
      </c>
    </row>
    <row r="1827" spans="58:58" x14ac:dyDescent="0.2">
      <c r="BF1827" s="86" t="e">
        <f t="shared" si="101"/>
        <v>#NUM!</v>
      </c>
    </row>
    <row r="1828" spans="58:58" x14ac:dyDescent="0.2">
      <c r="BF1828" s="86" t="e">
        <f t="shared" si="101"/>
        <v>#NUM!</v>
      </c>
    </row>
    <row r="1829" spans="58:58" x14ac:dyDescent="0.2">
      <c r="BF1829" s="86" t="e">
        <f t="shared" si="101"/>
        <v>#NUM!</v>
      </c>
    </row>
    <row r="1830" spans="58:58" x14ac:dyDescent="0.2">
      <c r="BF1830" s="86" t="e">
        <f t="shared" ref="BF1830:BF1893" si="102">MEDIAN(BH1830:BU1830)</f>
        <v>#NUM!</v>
      </c>
    </row>
    <row r="1831" spans="58:58" x14ac:dyDescent="0.2">
      <c r="BF1831" s="86" t="e">
        <f t="shared" si="102"/>
        <v>#NUM!</v>
      </c>
    </row>
    <row r="1832" spans="58:58" x14ac:dyDescent="0.2">
      <c r="BF1832" s="86" t="e">
        <f t="shared" si="102"/>
        <v>#NUM!</v>
      </c>
    </row>
    <row r="1833" spans="58:58" x14ac:dyDescent="0.2">
      <c r="BF1833" s="86" t="e">
        <f t="shared" si="102"/>
        <v>#NUM!</v>
      </c>
    </row>
    <row r="1834" spans="58:58" x14ac:dyDescent="0.2">
      <c r="BF1834" s="86" t="e">
        <f t="shared" si="102"/>
        <v>#NUM!</v>
      </c>
    </row>
    <row r="1835" spans="58:58" x14ac:dyDescent="0.2">
      <c r="BF1835" s="86" t="e">
        <f t="shared" si="102"/>
        <v>#NUM!</v>
      </c>
    </row>
    <row r="1836" spans="58:58" x14ac:dyDescent="0.2">
      <c r="BF1836" s="86" t="e">
        <f t="shared" si="102"/>
        <v>#NUM!</v>
      </c>
    </row>
    <row r="1837" spans="58:58" x14ac:dyDescent="0.2">
      <c r="BF1837" s="86" t="e">
        <f t="shared" si="102"/>
        <v>#NUM!</v>
      </c>
    </row>
    <row r="1838" spans="58:58" x14ac:dyDescent="0.2">
      <c r="BF1838" s="86" t="e">
        <f t="shared" si="102"/>
        <v>#NUM!</v>
      </c>
    </row>
    <row r="1839" spans="58:58" x14ac:dyDescent="0.2">
      <c r="BF1839" s="86" t="e">
        <f t="shared" si="102"/>
        <v>#NUM!</v>
      </c>
    </row>
    <row r="1840" spans="58:58" x14ac:dyDescent="0.2">
      <c r="BF1840" s="86" t="e">
        <f t="shared" si="102"/>
        <v>#NUM!</v>
      </c>
    </row>
    <row r="1841" spans="58:58" x14ac:dyDescent="0.2">
      <c r="BF1841" s="86" t="e">
        <f t="shared" si="102"/>
        <v>#NUM!</v>
      </c>
    </row>
    <row r="1842" spans="58:58" x14ac:dyDescent="0.2">
      <c r="BF1842" s="86" t="e">
        <f t="shared" si="102"/>
        <v>#NUM!</v>
      </c>
    </row>
    <row r="1843" spans="58:58" x14ac:dyDescent="0.2">
      <c r="BF1843" s="86" t="e">
        <f t="shared" si="102"/>
        <v>#NUM!</v>
      </c>
    </row>
    <row r="1844" spans="58:58" x14ac:dyDescent="0.2">
      <c r="BF1844" s="86" t="e">
        <f t="shared" si="102"/>
        <v>#NUM!</v>
      </c>
    </row>
    <row r="1845" spans="58:58" x14ac:dyDescent="0.2">
      <c r="BF1845" s="86" t="e">
        <f t="shared" si="102"/>
        <v>#NUM!</v>
      </c>
    </row>
    <row r="1846" spans="58:58" x14ac:dyDescent="0.2">
      <c r="BF1846" s="86" t="e">
        <f t="shared" si="102"/>
        <v>#NUM!</v>
      </c>
    </row>
    <row r="1847" spans="58:58" x14ac:dyDescent="0.2">
      <c r="BF1847" s="86" t="e">
        <f t="shared" si="102"/>
        <v>#NUM!</v>
      </c>
    </row>
    <row r="1848" spans="58:58" x14ac:dyDescent="0.2">
      <c r="BF1848" s="86" t="e">
        <f t="shared" si="102"/>
        <v>#NUM!</v>
      </c>
    </row>
    <row r="1849" spans="58:58" x14ac:dyDescent="0.2">
      <c r="BF1849" s="86" t="e">
        <f t="shared" si="102"/>
        <v>#NUM!</v>
      </c>
    </row>
    <row r="1850" spans="58:58" x14ac:dyDescent="0.2">
      <c r="BF1850" s="86" t="e">
        <f t="shared" si="102"/>
        <v>#NUM!</v>
      </c>
    </row>
    <row r="1851" spans="58:58" x14ac:dyDescent="0.2">
      <c r="BF1851" s="86" t="e">
        <f t="shared" si="102"/>
        <v>#NUM!</v>
      </c>
    </row>
    <row r="1852" spans="58:58" x14ac:dyDescent="0.2">
      <c r="BF1852" s="86" t="e">
        <f t="shared" si="102"/>
        <v>#NUM!</v>
      </c>
    </row>
    <row r="1853" spans="58:58" x14ac:dyDescent="0.2">
      <c r="BF1853" s="86" t="e">
        <f t="shared" si="102"/>
        <v>#NUM!</v>
      </c>
    </row>
    <row r="1854" spans="58:58" x14ac:dyDescent="0.2">
      <c r="BF1854" s="86" t="e">
        <f t="shared" si="102"/>
        <v>#NUM!</v>
      </c>
    </row>
    <row r="1855" spans="58:58" x14ac:dyDescent="0.2">
      <c r="BF1855" s="86" t="e">
        <f t="shared" si="102"/>
        <v>#NUM!</v>
      </c>
    </row>
    <row r="1856" spans="58:58" x14ac:dyDescent="0.2">
      <c r="BF1856" s="86" t="e">
        <f t="shared" si="102"/>
        <v>#NUM!</v>
      </c>
    </row>
    <row r="1857" spans="58:58" x14ac:dyDescent="0.2">
      <c r="BF1857" s="86" t="e">
        <f t="shared" si="102"/>
        <v>#NUM!</v>
      </c>
    </row>
    <row r="1858" spans="58:58" x14ac:dyDescent="0.2">
      <c r="BF1858" s="86" t="e">
        <f t="shared" si="102"/>
        <v>#NUM!</v>
      </c>
    </row>
    <row r="1859" spans="58:58" x14ac:dyDescent="0.2">
      <c r="BF1859" s="86" t="e">
        <f t="shared" si="102"/>
        <v>#NUM!</v>
      </c>
    </row>
    <row r="1860" spans="58:58" x14ac:dyDescent="0.2">
      <c r="BF1860" s="86" t="e">
        <f t="shared" si="102"/>
        <v>#NUM!</v>
      </c>
    </row>
    <row r="1861" spans="58:58" x14ac:dyDescent="0.2">
      <c r="BF1861" s="86" t="e">
        <f t="shared" si="102"/>
        <v>#NUM!</v>
      </c>
    </row>
    <row r="1862" spans="58:58" x14ac:dyDescent="0.2">
      <c r="BF1862" s="86" t="e">
        <f t="shared" si="102"/>
        <v>#NUM!</v>
      </c>
    </row>
    <row r="1863" spans="58:58" x14ac:dyDescent="0.2">
      <c r="BF1863" s="86" t="e">
        <f t="shared" si="102"/>
        <v>#NUM!</v>
      </c>
    </row>
    <row r="1864" spans="58:58" x14ac:dyDescent="0.2">
      <c r="BF1864" s="86" t="e">
        <f t="shared" si="102"/>
        <v>#NUM!</v>
      </c>
    </row>
    <row r="1865" spans="58:58" x14ac:dyDescent="0.2">
      <c r="BF1865" s="86" t="e">
        <f t="shared" si="102"/>
        <v>#NUM!</v>
      </c>
    </row>
    <row r="1866" spans="58:58" x14ac:dyDescent="0.2">
      <c r="BF1866" s="86" t="e">
        <f t="shared" si="102"/>
        <v>#NUM!</v>
      </c>
    </row>
    <row r="1867" spans="58:58" x14ac:dyDescent="0.2">
      <c r="BF1867" s="86" t="e">
        <f t="shared" si="102"/>
        <v>#NUM!</v>
      </c>
    </row>
    <row r="1868" spans="58:58" x14ac:dyDescent="0.2">
      <c r="BF1868" s="86" t="e">
        <f t="shared" si="102"/>
        <v>#NUM!</v>
      </c>
    </row>
    <row r="1869" spans="58:58" x14ac:dyDescent="0.2">
      <c r="BF1869" s="86" t="e">
        <f t="shared" si="102"/>
        <v>#NUM!</v>
      </c>
    </row>
    <row r="1870" spans="58:58" x14ac:dyDescent="0.2">
      <c r="BF1870" s="86" t="e">
        <f t="shared" si="102"/>
        <v>#NUM!</v>
      </c>
    </row>
    <row r="1871" spans="58:58" x14ac:dyDescent="0.2">
      <c r="BF1871" s="86" t="e">
        <f t="shared" si="102"/>
        <v>#NUM!</v>
      </c>
    </row>
    <row r="1872" spans="58:58" x14ac:dyDescent="0.2">
      <c r="BF1872" s="86" t="e">
        <f t="shared" si="102"/>
        <v>#NUM!</v>
      </c>
    </row>
    <row r="1873" spans="58:58" x14ac:dyDescent="0.2">
      <c r="BF1873" s="86" t="e">
        <f t="shared" si="102"/>
        <v>#NUM!</v>
      </c>
    </row>
    <row r="1874" spans="58:58" x14ac:dyDescent="0.2">
      <c r="BF1874" s="86" t="e">
        <f t="shared" si="102"/>
        <v>#NUM!</v>
      </c>
    </row>
    <row r="1875" spans="58:58" x14ac:dyDescent="0.2">
      <c r="BF1875" s="86" t="e">
        <f t="shared" si="102"/>
        <v>#NUM!</v>
      </c>
    </row>
    <row r="1876" spans="58:58" x14ac:dyDescent="0.2">
      <c r="BF1876" s="86" t="e">
        <f t="shared" si="102"/>
        <v>#NUM!</v>
      </c>
    </row>
    <row r="1877" spans="58:58" x14ac:dyDescent="0.2">
      <c r="BF1877" s="86" t="e">
        <f t="shared" si="102"/>
        <v>#NUM!</v>
      </c>
    </row>
    <row r="1878" spans="58:58" x14ac:dyDescent="0.2">
      <c r="BF1878" s="86" t="e">
        <f t="shared" si="102"/>
        <v>#NUM!</v>
      </c>
    </row>
    <row r="1879" spans="58:58" x14ac:dyDescent="0.2">
      <c r="BF1879" s="86" t="e">
        <f t="shared" si="102"/>
        <v>#NUM!</v>
      </c>
    </row>
    <row r="1880" spans="58:58" x14ac:dyDescent="0.2">
      <c r="BF1880" s="86" t="e">
        <f t="shared" si="102"/>
        <v>#NUM!</v>
      </c>
    </row>
    <row r="1881" spans="58:58" x14ac:dyDescent="0.2">
      <c r="BF1881" s="86" t="e">
        <f t="shared" si="102"/>
        <v>#NUM!</v>
      </c>
    </row>
    <row r="1882" spans="58:58" x14ac:dyDescent="0.2">
      <c r="BF1882" s="86" t="e">
        <f t="shared" si="102"/>
        <v>#NUM!</v>
      </c>
    </row>
    <row r="1883" spans="58:58" x14ac:dyDescent="0.2">
      <c r="BF1883" s="86" t="e">
        <f t="shared" si="102"/>
        <v>#NUM!</v>
      </c>
    </row>
    <row r="1884" spans="58:58" x14ac:dyDescent="0.2">
      <c r="BF1884" s="86" t="e">
        <f t="shared" si="102"/>
        <v>#NUM!</v>
      </c>
    </row>
    <row r="1885" spans="58:58" x14ac:dyDescent="0.2">
      <c r="BF1885" s="86" t="e">
        <f t="shared" si="102"/>
        <v>#NUM!</v>
      </c>
    </row>
    <row r="1886" spans="58:58" x14ac:dyDescent="0.2">
      <c r="BF1886" s="86" t="e">
        <f t="shared" si="102"/>
        <v>#NUM!</v>
      </c>
    </row>
    <row r="1887" spans="58:58" x14ac:dyDescent="0.2">
      <c r="BF1887" s="86" t="e">
        <f t="shared" si="102"/>
        <v>#NUM!</v>
      </c>
    </row>
    <row r="1888" spans="58:58" x14ac:dyDescent="0.2">
      <c r="BF1888" s="86" t="e">
        <f t="shared" si="102"/>
        <v>#NUM!</v>
      </c>
    </row>
    <row r="1889" spans="58:58" x14ac:dyDescent="0.2">
      <c r="BF1889" s="86" t="e">
        <f t="shared" si="102"/>
        <v>#NUM!</v>
      </c>
    </row>
    <row r="1890" spans="58:58" x14ac:dyDescent="0.2">
      <c r="BF1890" s="86" t="e">
        <f t="shared" si="102"/>
        <v>#NUM!</v>
      </c>
    </row>
    <row r="1891" spans="58:58" x14ac:dyDescent="0.2">
      <c r="BF1891" s="86" t="e">
        <f t="shared" si="102"/>
        <v>#NUM!</v>
      </c>
    </row>
    <row r="1892" spans="58:58" x14ac:dyDescent="0.2">
      <c r="BF1892" s="86" t="e">
        <f t="shared" si="102"/>
        <v>#NUM!</v>
      </c>
    </row>
    <row r="1893" spans="58:58" x14ac:dyDescent="0.2">
      <c r="BF1893" s="86" t="e">
        <f t="shared" si="102"/>
        <v>#NUM!</v>
      </c>
    </row>
    <row r="1894" spans="58:58" x14ac:dyDescent="0.2">
      <c r="BF1894" s="86" t="e">
        <f t="shared" ref="BF1894:BF1957" si="103">MEDIAN(BH1894:BU1894)</f>
        <v>#NUM!</v>
      </c>
    </row>
    <row r="1895" spans="58:58" x14ac:dyDescent="0.2">
      <c r="BF1895" s="86" t="e">
        <f t="shared" si="103"/>
        <v>#NUM!</v>
      </c>
    </row>
    <row r="1896" spans="58:58" x14ac:dyDescent="0.2">
      <c r="BF1896" s="86" t="e">
        <f t="shared" si="103"/>
        <v>#NUM!</v>
      </c>
    </row>
    <row r="1897" spans="58:58" x14ac:dyDescent="0.2">
      <c r="BF1897" s="86" t="e">
        <f t="shared" si="103"/>
        <v>#NUM!</v>
      </c>
    </row>
    <row r="1898" spans="58:58" x14ac:dyDescent="0.2">
      <c r="BF1898" s="86" t="e">
        <f t="shared" si="103"/>
        <v>#NUM!</v>
      </c>
    </row>
    <row r="1899" spans="58:58" x14ac:dyDescent="0.2">
      <c r="BF1899" s="86" t="e">
        <f t="shared" si="103"/>
        <v>#NUM!</v>
      </c>
    </row>
    <row r="1900" spans="58:58" x14ac:dyDescent="0.2">
      <c r="BF1900" s="86" t="e">
        <f t="shared" si="103"/>
        <v>#NUM!</v>
      </c>
    </row>
    <row r="1901" spans="58:58" x14ac:dyDescent="0.2">
      <c r="BF1901" s="86" t="e">
        <f t="shared" si="103"/>
        <v>#NUM!</v>
      </c>
    </row>
    <row r="1902" spans="58:58" x14ac:dyDescent="0.2">
      <c r="BF1902" s="86" t="e">
        <f t="shared" si="103"/>
        <v>#NUM!</v>
      </c>
    </row>
    <row r="1903" spans="58:58" x14ac:dyDescent="0.2">
      <c r="BF1903" s="86" t="e">
        <f t="shared" si="103"/>
        <v>#NUM!</v>
      </c>
    </row>
    <row r="1904" spans="58:58" x14ac:dyDescent="0.2">
      <c r="BF1904" s="86" t="e">
        <f t="shared" si="103"/>
        <v>#NUM!</v>
      </c>
    </row>
    <row r="1905" spans="58:58" x14ac:dyDescent="0.2">
      <c r="BF1905" s="86" t="e">
        <f t="shared" si="103"/>
        <v>#NUM!</v>
      </c>
    </row>
    <row r="1906" spans="58:58" x14ac:dyDescent="0.2">
      <c r="BF1906" s="86" t="e">
        <f t="shared" si="103"/>
        <v>#NUM!</v>
      </c>
    </row>
    <row r="1907" spans="58:58" x14ac:dyDescent="0.2">
      <c r="BF1907" s="86" t="e">
        <f t="shared" si="103"/>
        <v>#NUM!</v>
      </c>
    </row>
    <row r="1908" spans="58:58" x14ac:dyDescent="0.2">
      <c r="BF1908" s="86" t="e">
        <f t="shared" si="103"/>
        <v>#NUM!</v>
      </c>
    </row>
    <row r="1909" spans="58:58" x14ac:dyDescent="0.2">
      <c r="BF1909" s="86" t="e">
        <f t="shared" si="103"/>
        <v>#NUM!</v>
      </c>
    </row>
    <row r="1910" spans="58:58" x14ac:dyDescent="0.2">
      <c r="BF1910" s="86" t="e">
        <f t="shared" si="103"/>
        <v>#NUM!</v>
      </c>
    </row>
    <row r="1911" spans="58:58" x14ac:dyDescent="0.2">
      <c r="BF1911" s="86" t="e">
        <f t="shared" si="103"/>
        <v>#NUM!</v>
      </c>
    </row>
    <row r="1912" spans="58:58" x14ac:dyDescent="0.2">
      <c r="BF1912" s="86" t="e">
        <f t="shared" si="103"/>
        <v>#NUM!</v>
      </c>
    </row>
    <row r="1913" spans="58:58" x14ac:dyDescent="0.2">
      <c r="BF1913" s="86" t="e">
        <f t="shared" si="103"/>
        <v>#NUM!</v>
      </c>
    </row>
    <row r="1914" spans="58:58" x14ac:dyDescent="0.2">
      <c r="BF1914" s="86" t="e">
        <f t="shared" si="103"/>
        <v>#NUM!</v>
      </c>
    </row>
    <row r="1915" spans="58:58" x14ac:dyDescent="0.2">
      <c r="BF1915" s="86" t="e">
        <f t="shared" si="103"/>
        <v>#NUM!</v>
      </c>
    </row>
    <row r="1916" spans="58:58" x14ac:dyDescent="0.2">
      <c r="BF1916" s="86" t="e">
        <f t="shared" si="103"/>
        <v>#NUM!</v>
      </c>
    </row>
    <row r="1917" spans="58:58" x14ac:dyDescent="0.2">
      <c r="BF1917" s="86" t="e">
        <f t="shared" si="103"/>
        <v>#NUM!</v>
      </c>
    </row>
    <row r="1918" spans="58:58" x14ac:dyDescent="0.2">
      <c r="BF1918" s="86" t="e">
        <f t="shared" si="103"/>
        <v>#NUM!</v>
      </c>
    </row>
    <row r="1919" spans="58:58" x14ac:dyDescent="0.2">
      <c r="BF1919" s="86" t="e">
        <f t="shared" si="103"/>
        <v>#NUM!</v>
      </c>
    </row>
    <row r="1920" spans="58:58" x14ac:dyDescent="0.2">
      <c r="BF1920" s="86" t="e">
        <f t="shared" si="103"/>
        <v>#NUM!</v>
      </c>
    </row>
    <row r="1921" spans="58:58" x14ac:dyDescent="0.2">
      <c r="BF1921" s="86" t="e">
        <f t="shared" si="103"/>
        <v>#NUM!</v>
      </c>
    </row>
    <row r="1922" spans="58:58" x14ac:dyDescent="0.2">
      <c r="BF1922" s="86" t="e">
        <f t="shared" si="103"/>
        <v>#NUM!</v>
      </c>
    </row>
    <row r="1923" spans="58:58" x14ac:dyDescent="0.2">
      <c r="BF1923" s="86" t="e">
        <f t="shared" si="103"/>
        <v>#NUM!</v>
      </c>
    </row>
    <row r="1924" spans="58:58" x14ac:dyDescent="0.2">
      <c r="BF1924" s="86" t="e">
        <f t="shared" si="103"/>
        <v>#NUM!</v>
      </c>
    </row>
    <row r="1925" spans="58:58" x14ac:dyDescent="0.2">
      <c r="BF1925" s="86" t="e">
        <f t="shared" si="103"/>
        <v>#NUM!</v>
      </c>
    </row>
    <row r="1926" spans="58:58" x14ac:dyDescent="0.2">
      <c r="BF1926" s="86" t="e">
        <f t="shared" si="103"/>
        <v>#NUM!</v>
      </c>
    </row>
    <row r="1927" spans="58:58" x14ac:dyDescent="0.2">
      <c r="BF1927" s="86" t="e">
        <f t="shared" si="103"/>
        <v>#NUM!</v>
      </c>
    </row>
    <row r="1928" spans="58:58" x14ac:dyDescent="0.2">
      <c r="BF1928" s="86" t="e">
        <f t="shared" si="103"/>
        <v>#NUM!</v>
      </c>
    </row>
    <row r="1929" spans="58:58" x14ac:dyDescent="0.2">
      <c r="BF1929" s="86" t="e">
        <f t="shared" si="103"/>
        <v>#NUM!</v>
      </c>
    </row>
    <row r="1930" spans="58:58" x14ac:dyDescent="0.2">
      <c r="BF1930" s="86" t="e">
        <f t="shared" si="103"/>
        <v>#NUM!</v>
      </c>
    </row>
    <row r="1931" spans="58:58" x14ac:dyDescent="0.2">
      <c r="BF1931" s="86" t="e">
        <f t="shared" si="103"/>
        <v>#NUM!</v>
      </c>
    </row>
    <row r="1932" spans="58:58" x14ac:dyDescent="0.2">
      <c r="BF1932" s="86" t="e">
        <f t="shared" si="103"/>
        <v>#NUM!</v>
      </c>
    </row>
    <row r="1933" spans="58:58" x14ac:dyDescent="0.2">
      <c r="BF1933" s="86" t="e">
        <f t="shared" si="103"/>
        <v>#NUM!</v>
      </c>
    </row>
    <row r="1934" spans="58:58" x14ac:dyDescent="0.2">
      <c r="BF1934" s="86" t="e">
        <f t="shared" si="103"/>
        <v>#NUM!</v>
      </c>
    </row>
    <row r="1935" spans="58:58" x14ac:dyDescent="0.2">
      <c r="BF1935" s="86" t="e">
        <f t="shared" si="103"/>
        <v>#NUM!</v>
      </c>
    </row>
    <row r="1936" spans="58:58" x14ac:dyDescent="0.2">
      <c r="BF1936" s="86" t="e">
        <f t="shared" si="103"/>
        <v>#NUM!</v>
      </c>
    </row>
    <row r="1937" spans="58:58" x14ac:dyDescent="0.2">
      <c r="BF1937" s="86" t="e">
        <f t="shared" si="103"/>
        <v>#NUM!</v>
      </c>
    </row>
    <row r="1938" spans="58:58" x14ac:dyDescent="0.2">
      <c r="BF1938" s="86" t="e">
        <f t="shared" si="103"/>
        <v>#NUM!</v>
      </c>
    </row>
    <row r="1939" spans="58:58" x14ac:dyDescent="0.2">
      <c r="BF1939" s="86" t="e">
        <f t="shared" si="103"/>
        <v>#NUM!</v>
      </c>
    </row>
    <row r="1940" spans="58:58" x14ac:dyDescent="0.2">
      <c r="BF1940" s="86" t="e">
        <f t="shared" si="103"/>
        <v>#NUM!</v>
      </c>
    </row>
    <row r="1941" spans="58:58" x14ac:dyDescent="0.2">
      <c r="BF1941" s="86" t="e">
        <f t="shared" si="103"/>
        <v>#NUM!</v>
      </c>
    </row>
    <row r="1942" spans="58:58" x14ac:dyDescent="0.2">
      <c r="BF1942" s="86" t="e">
        <f t="shared" si="103"/>
        <v>#NUM!</v>
      </c>
    </row>
    <row r="1943" spans="58:58" x14ac:dyDescent="0.2">
      <c r="BF1943" s="86" t="e">
        <f t="shared" si="103"/>
        <v>#NUM!</v>
      </c>
    </row>
    <row r="1944" spans="58:58" x14ac:dyDescent="0.2">
      <c r="BF1944" s="86" t="e">
        <f t="shared" si="103"/>
        <v>#NUM!</v>
      </c>
    </row>
    <row r="1945" spans="58:58" x14ac:dyDescent="0.2">
      <c r="BF1945" s="86" t="e">
        <f t="shared" si="103"/>
        <v>#NUM!</v>
      </c>
    </row>
    <row r="1946" spans="58:58" x14ac:dyDescent="0.2">
      <c r="BF1946" s="86" t="e">
        <f t="shared" si="103"/>
        <v>#NUM!</v>
      </c>
    </row>
    <row r="1947" spans="58:58" x14ac:dyDescent="0.2">
      <c r="BF1947" s="86" t="e">
        <f t="shared" si="103"/>
        <v>#NUM!</v>
      </c>
    </row>
    <row r="1948" spans="58:58" x14ac:dyDescent="0.2">
      <c r="BF1948" s="86" t="e">
        <f t="shared" si="103"/>
        <v>#NUM!</v>
      </c>
    </row>
    <row r="1949" spans="58:58" x14ac:dyDescent="0.2">
      <c r="BF1949" s="86" t="e">
        <f t="shared" si="103"/>
        <v>#NUM!</v>
      </c>
    </row>
    <row r="1950" spans="58:58" x14ac:dyDescent="0.2">
      <c r="BF1950" s="86" t="e">
        <f t="shared" si="103"/>
        <v>#NUM!</v>
      </c>
    </row>
    <row r="1951" spans="58:58" x14ac:dyDescent="0.2">
      <c r="BF1951" s="86" t="e">
        <f t="shared" si="103"/>
        <v>#NUM!</v>
      </c>
    </row>
    <row r="1952" spans="58:58" x14ac:dyDescent="0.2">
      <c r="BF1952" s="86" t="e">
        <f t="shared" si="103"/>
        <v>#NUM!</v>
      </c>
    </row>
    <row r="1953" spans="58:58" x14ac:dyDescent="0.2">
      <c r="BF1953" s="86" t="e">
        <f t="shared" si="103"/>
        <v>#NUM!</v>
      </c>
    </row>
    <row r="1954" spans="58:58" x14ac:dyDescent="0.2">
      <c r="BF1954" s="86" t="e">
        <f t="shared" si="103"/>
        <v>#NUM!</v>
      </c>
    </row>
    <row r="1955" spans="58:58" x14ac:dyDescent="0.2">
      <c r="BF1955" s="86" t="e">
        <f t="shared" si="103"/>
        <v>#NUM!</v>
      </c>
    </row>
    <row r="1956" spans="58:58" x14ac:dyDescent="0.2">
      <c r="BF1956" s="86" t="e">
        <f t="shared" si="103"/>
        <v>#NUM!</v>
      </c>
    </row>
    <row r="1957" spans="58:58" x14ac:dyDescent="0.2">
      <c r="BF1957" s="86" t="e">
        <f t="shared" si="103"/>
        <v>#NUM!</v>
      </c>
    </row>
    <row r="1958" spans="58:58" x14ac:dyDescent="0.2">
      <c r="BF1958" s="86" t="e">
        <f t="shared" ref="BF1958:BF2021" si="104">MEDIAN(BH1958:BU1958)</f>
        <v>#NUM!</v>
      </c>
    </row>
    <row r="1959" spans="58:58" x14ac:dyDescent="0.2">
      <c r="BF1959" s="86" t="e">
        <f t="shared" si="104"/>
        <v>#NUM!</v>
      </c>
    </row>
    <row r="1960" spans="58:58" x14ac:dyDescent="0.2">
      <c r="BF1960" s="86" t="e">
        <f t="shared" si="104"/>
        <v>#NUM!</v>
      </c>
    </row>
    <row r="1961" spans="58:58" x14ac:dyDescent="0.2">
      <c r="BF1961" s="86" t="e">
        <f t="shared" si="104"/>
        <v>#NUM!</v>
      </c>
    </row>
    <row r="1962" spans="58:58" x14ac:dyDescent="0.2">
      <c r="BF1962" s="86" t="e">
        <f t="shared" si="104"/>
        <v>#NUM!</v>
      </c>
    </row>
    <row r="1963" spans="58:58" x14ac:dyDescent="0.2">
      <c r="BF1963" s="86" t="e">
        <f t="shared" si="104"/>
        <v>#NUM!</v>
      </c>
    </row>
    <row r="1964" spans="58:58" x14ac:dyDescent="0.2">
      <c r="BF1964" s="86" t="e">
        <f t="shared" si="104"/>
        <v>#NUM!</v>
      </c>
    </row>
    <row r="1965" spans="58:58" x14ac:dyDescent="0.2">
      <c r="BF1965" s="86" t="e">
        <f t="shared" si="104"/>
        <v>#NUM!</v>
      </c>
    </row>
    <row r="1966" spans="58:58" x14ac:dyDescent="0.2">
      <c r="BF1966" s="86" t="e">
        <f t="shared" si="104"/>
        <v>#NUM!</v>
      </c>
    </row>
    <row r="1967" spans="58:58" x14ac:dyDescent="0.2">
      <c r="BF1967" s="86" t="e">
        <f t="shared" si="104"/>
        <v>#NUM!</v>
      </c>
    </row>
    <row r="1968" spans="58:58" x14ac:dyDescent="0.2">
      <c r="BF1968" s="86" t="e">
        <f t="shared" si="104"/>
        <v>#NUM!</v>
      </c>
    </row>
    <row r="1969" spans="58:58" x14ac:dyDescent="0.2">
      <c r="BF1969" s="86" t="e">
        <f t="shared" si="104"/>
        <v>#NUM!</v>
      </c>
    </row>
    <row r="1970" spans="58:58" x14ac:dyDescent="0.2">
      <c r="BF1970" s="86" t="e">
        <f t="shared" si="104"/>
        <v>#NUM!</v>
      </c>
    </row>
    <row r="1971" spans="58:58" x14ac:dyDescent="0.2">
      <c r="BF1971" s="86" t="e">
        <f t="shared" si="104"/>
        <v>#NUM!</v>
      </c>
    </row>
    <row r="1972" spans="58:58" x14ac:dyDescent="0.2">
      <c r="BF1972" s="86" t="e">
        <f t="shared" si="104"/>
        <v>#NUM!</v>
      </c>
    </row>
    <row r="1973" spans="58:58" x14ac:dyDescent="0.2">
      <c r="BF1973" s="86" t="e">
        <f t="shared" si="104"/>
        <v>#NUM!</v>
      </c>
    </row>
    <row r="1974" spans="58:58" x14ac:dyDescent="0.2">
      <c r="BF1974" s="86" t="e">
        <f t="shared" si="104"/>
        <v>#NUM!</v>
      </c>
    </row>
    <row r="1975" spans="58:58" x14ac:dyDescent="0.2">
      <c r="BF1975" s="86" t="e">
        <f t="shared" si="104"/>
        <v>#NUM!</v>
      </c>
    </row>
    <row r="1976" spans="58:58" x14ac:dyDescent="0.2">
      <c r="BF1976" s="86" t="e">
        <f t="shared" si="104"/>
        <v>#NUM!</v>
      </c>
    </row>
    <row r="1977" spans="58:58" x14ac:dyDescent="0.2">
      <c r="BF1977" s="86" t="e">
        <f t="shared" si="104"/>
        <v>#NUM!</v>
      </c>
    </row>
    <row r="1978" spans="58:58" x14ac:dyDescent="0.2">
      <c r="BF1978" s="86" t="e">
        <f t="shared" si="104"/>
        <v>#NUM!</v>
      </c>
    </row>
    <row r="1979" spans="58:58" x14ac:dyDescent="0.2">
      <c r="BF1979" s="86" t="e">
        <f t="shared" si="104"/>
        <v>#NUM!</v>
      </c>
    </row>
    <row r="1980" spans="58:58" x14ac:dyDescent="0.2">
      <c r="BF1980" s="86" t="e">
        <f t="shared" si="104"/>
        <v>#NUM!</v>
      </c>
    </row>
    <row r="1981" spans="58:58" x14ac:dyDescent="0.2">
      <c r="BF1981" s="86" t="e">
        <f t="shared" si="104"/>
        <v>#NUM!</v>
      </c>
    </row>
    <row r="1982" spans="58:58" x14ac:dyDescent="0.2">
      <c r="BF1982" s="86" t="e">
        <f t="shared" si="104"/>
        <v>#NUM!</v>
      </c>
    </row>
    <row r="1983" spans="58:58" x14ac:dyDescent="0.2">
      <c r="BF1983" s="86" t="e">
        <f t="shared" si="104"/>
        <v>#NUM!</v>
      </c>
    </row>
    <row r="1984" spans="58:58" x14ac:dyDescent="0.2">
      <c r="BF1984" s="86" t="e">
        <f t="shared" si="104"/>
        <v>#NUM!</v>
      </c>
    </row>
    <row r="1985" spans="58:58" x14ac:dyDescent="0.2">
      <c r="BF1985" s="86" t="e">
        <f t="shared" si="104"/>
        <v>#NUM!</v>
      </c>
    </row>
    <row r="1986" spans="58:58" x14ac:dyDescent="0.2">
      <c r="BF1986" s="86" t="e">
        <f t="shared" si="104"/>
        <v>#NUM!</v>
      </c>
    </row>
    <row r="1987" spans="58:58" x14ac:dyDescent="0.2">
      <c r="BF1987" s="86" t="e">
        <f t="shared" si="104"/>
        <v>#NUM!</v>
      </c>
    </row>
    <row r="1988" spans="58:58" x14ac:dyDescent="0.2">
      <c r="BF1988" s="86" t="e">
        <f t="shared" si="104"/>
        <v>#NUM!</v>
      </c>
    </row>
    <row r="1989" spans="58:58" x14ac:dyDescent="0.2">
      <c r="BF1989" s="86" t="e">
        <f t="shared" si="104"/>
        <v>#NUM!</v>
      </c>
    </row>
    <row r="1990" spans="58:58" x14ac:dyDescent="0.2">
      <c r="BF1990" s="86" t="e">
        <f t="shared" si="104"/>
        <v>#NUM!</v>
      </c>
    </row>
    <row r="1991" spans="58:58" x14ac:dyDescent="0.2">
      <c r="BF1991" s="86" t="e">
        <f t="shared" si="104"/>
        <v>#NUM!</v>
      </c>
    </row>
    <row r="1992" spans="58:58" x14ac:dyDescent="0.2">
      <c r="BF1992" s="86" t="e">
        <f t="shared" si="104"/>
        <v>#NUM!</v>
      </c>
    </row>
    <row r="1993" spans="58:58" x14ac:dyDescent="0.2">
      <c r="BF1993" s="86" t="e">
        <f t="shared" si="104"/>
        <v>#NUM!</v>
      </c>
    </row>
    <row r="1994" spans="58:58" x14ac:dyDescent="0.2">
      <c r="BF1994" s="86" t="e">
        <f t="shared" si="104"/>
        <v>#NUM!</v>
      </c>
    </row>
    <row r="1995" spans="58:58" x14ac:dyDescent="0.2">
      <c r="BF1995" s="86" t="e">
        <f t="shared" si="104"/>
        <v>#NUM!</v>
      </c>
    </row>
    <row r="1996" spans="58:58" x14ac:dyDescent="0.2">
      <c r="BF1996" s="86" t="e">
        <f t="shared" si="104"/>
        <v>#NUM!</v>
      </c>
    </row>
    <row r="1997" spans="58:58" x14ac:dyDescent="0.2">
      <c r="BF1997" s="86" t="e">
        <f t="shared" si="104"/>
        <v>#NUM!</v>
      </c>
    </row>
    <row r="1998" spans="58:58" x14ac:dyDescent="0.2">
      <c r="BF1998" s="86" t="e">
        <f t="shared" si="104"/>
        <v>#NUM!</v>
      </c>
    </row>
    <row r="1999" spans="58:58" x14ac:dyDescent="0.2">
      <c r="BF1999" s="86" t="e">
        <f t="shared" si="104"/>
        <v>#NUM!</v>
      </c>
    </row>
    <row r="2000" spans="58:58" x14ac:dyDescent="0.2">
      <c r="BF2000" s="86" t="e">
        <f t="shared" si="104"/>
        <v>#NUM!</v>
      </c>
    </row>
    <row r="2001" spans="58:58" x14ac:dyDescent="0.2">
      <c r="BF2001" s="86" t="e">
        <f t="shared" si="104"/>
        <v>#NUM!</v>
      </c>
    </row>
    <row r="2002" spans="58:58" x14ac:dyDescent="0.2">
      <c r="BF2002" s="86" t="e">
        <f t="shared" si="104"/>
        <v>#NUM!</v>
      </c>
    </row>
    <row r="2003" spans="58:58" x14ac:dyDescent="0.2">
      <c r="BF2003" s="86" t="e">
        <f t="shared" si="104"/>
        <v>#NUM!</v>
      </c>
    </row>
    <row r="2004" spans="58:58" x14ac:dyDescent="0.2">
      <c r="BF2004" s="86" t="e">
        <f t="shared" si="104"/>
        <v>#NUM!</v>
      </c>
    </row>
    <row r="2005" spans="58:58" x14ac:dyDescent="0.2">
      <c r="BF2005" s="86" t="e">
        <f t="shared" si="104"/>
        <v>#NUM!</v>
      </c>
    </row>
    <row r="2006" spans="58:58" x14ac:dyDescent="0.2">
      <c r="BF2006" s="86" t="e">
        <f t="shared" si="104"/>
        <v>#NUM!</v>
      </c>
    </row>
    <row r="2007" spans="58:58" x14ac:dyDescent="0.2">
      <c r="BF2007" s="86" t="e">
        <f t="shared" si="104"/>
        <v>#NUM!</v>
      </c>
    </row>
    <row r="2008" spans="58:58" x14ac:dyDescent="0.2">
      <c r="BF2008" s="86" t="e">
        <f t="shared" si="104"/>
        <v>#NUM!</v>
      </c>
    </row>
    <row r="2009" spans="58:58" x14ac:dyDescent="0.2">
      <c r="BF2009" s="86" t="e">
        <f t="shared" si="104"/>
        <v>#NUM!</v>
      </c>
    </row>
    <row r="2010" spans="58:58" x14ac:dyDescent="0.2">
      <c r="BF2010" s="86" t="e">
        <f t="shared" si="104"/>
        <v>#NUM!</v>
      </c>
    </row>
    <row r="2011" spans="58:58" x14ac:dyDescent="0.2">
      <c r="BF2011" s="86" t="e">
        <f t="shared" si="104"/>
        <v>#NUM!</v>
      </c>
    </row>
    <row r="2012" spans="58:58" x14ac:dyDescent="0.2">
      <c r="BF2012" s="86" t="e">
        <f t="shared" si="104"/>
        <v>#NUM!</v>
      </c>
    </row>
    <row r="2013" spans="58:58" x14ac:dyDescent="0.2">
      <c r="BF2013" s="86" t="e">
        <f t="shared" si="104"/>
        <v>#NUM!</v>
      </c>
    </row>
    <row r="2014" spans="58:58" x14ac:dyDescent="0.2">
      <c r="BF2014" s="86" t="e">
        <f t="shared" si="104"/>
        <v>#NUM!</v>
      </c>
    </row>
    <row r="2015" spans="58:58" x14ac:dyDescent="0.2">
      <c r="BF2015" s="86" t="e">
        <f t="shared" si="104"/>
        <v>#NUM!</v>
      </c>
    </row>
    <row r="2016" spans="58:58" x14ac:dyDescent="0.2">
      <c r="BF2016" s="86" t="e">
        <f t="shared" si="104"/>
        <v>#NUM!</v>
      </c>
    </row>
    <row r="2017" spans="58:58" x14ac:dyDescent="0.2">
      <c r="BF2017" s="86" t="e">
        <f t="shared" si="104"/>
        <v>#NUM!</v>
      </c>
    </row>
    <row r="2018" spans="58:58" x14ac:dyDescent="0.2">
      <c r="BF2018" s="86" t="e">
        <f t="shared" si="104"/>
        <v>#NUM!</v>
      </c>
    </row>
    <row r="2019" spans="58:58" x14ac:dyDescent="0.2">
      <c r="BF2019" s="86" t="e">
        <f t="shared" si="104"/>
        <v>#NUM!</v>
      </c>
    </row>
    <row r="2020" spans="58:58" x14ac:dyDescent="0.2">
      <c r="BF2020" s="86" t="e">
        <f t="shared" si="104"/>
        <v>#NUM!</v>
      </c>
    </row>
    <row r="2021" spans="58:58" x14ac:dyDescent="0.2">
      <c r="BF2021" s="86" t="e">
        <f t="shared" si="104"/>
        <v>#NUM!</v>
      </c>
    </row>
    <row r="2022" spans="58:58" x14ac:dyDescent="0.2">
      <c r="BF2022" s="86" t="e">
        <f t="shared" ref="BF2022:BF2085" si="105">MEDIAN(BH2022:BU2022)</f>
        <v>#NUM!</v>
      </c>
    </row>
    <row r="2023" spans="58:58" x14ac:dyDescent="0.2">
      <c r="BF2023" s="86" t="e">
        <f t="shared" si="105"/>
        <v>#NUM!</v>
      </c>
    </row>
    <row r="2024" spans="58:58" x14ac:dyDescent="0.2">
      <c r="BF2024" s="86" t="e">
        <f t="shared" si="105"/>
        <v>#NUM!</v>
      </c>
    </row>
    <row r="2025" spans="58:58" x14ac:dyDescent="0.2">
      <c r="BF2025" s="86" t="e">
        <f t="shared" si="105"/>
        <v>#NUM!</v>
      </c>
    </row>
    <row r="2026" spans="58:58" x14ac:dyDescent="0.2">
      <c r="BF2026" s="86" t="e">
        <f t="shared" si="105"/>
        <v>#NUM!</v>
      </c>
    </row>
    <row r="2027" spans="58:58" x14ac:dyDescent="0.2">
      <c r="BF2027" s="86" t="e">
        <f t="shared" si="105"/>
        <v>#NUM!</v>
      </c>
    </row>
    <row r="2028" spans="58:58" x14ac:dyDescent="0.2">
      <c r="BF2028" s="86" t="e">
        <f t="shared" si="105"/>
        <v>#NUM!</v>
      </c>
    </row>
    <row r="2029" spans="58:58" x14ac:dyDescent="0.2">
      <c r="BF2029" s="86" t="e">
        <f t="shared" si="105"/>
        <v>#NUM!</v>
      </c>
    </row>
    <row r="2030" spans="58:58" x14ac:dyDescent="0.2">
      <c r="BF2030" s="86" t="e">
        <f t="shared" si="105"/>
        <v>#NUM!</v>
      </c>
    </row>
    <row r="2031" spans="58:58" x14ac:dyDescent="0.2">
      <c r="BF2031" s="86" t="e">
        <f t="shared" si="105"/>
        <v>#NUM!</v>
      </c>
    </row>
    <row r="2032" spans="58:58" x14ac:dyDescent="0.2">
      <c r="BF2032" s="86" t="e">
        <f t="shared" si="105"/>
        <v>#NUM!</v>
      </c>
    </row>
    <row r="2033" spans="58:58" x14ac:dyDescent="0.2">
      <c r="BF2033" s="86" t="e">
        <f t="shared" si="105"/>
        <v>#NUM!</v>
      </c>
    </row>
    <row r="2034" spans="58:58" x14ac:dyDescent="0.2">
      <c r="BF2034" s="86" t="e">
        <f t="shared" si="105"/>
        <v>#NUM!</v>
      </c>
    </row>
    <row r="2035" spans="58:58" x14ac:dyDescent="0.2">
      <c r="BF2035" s="86" t="e">
        <f t="shared" si="105"/>
        <v>#NUM!</v>
      </c>
    </row>
    <row r="2036" spans="58:58" x14ac:dyDescent="0.2">
      <c r="BF2036" s="86" t="e">
        <f t="shared" si="105"/>
        <v>#NUM!</v>
      </c>
    </row>
    <row r="2037" spans="58:58" x14ac:dyDescent="0.2">
      <c r="BF2037" s="86" t="e">
        <f t="shared" si="105"/>
        <v>#NUM!</v>
      </c>
    </row>
    <row r="2038" spans="58:58" x14ac:dyDescent="0.2">
      <c r="BF2038" s="86" t="e">
        <f t="shared" si="105"/>
        <v>#NUM!</v>
      </c>
    </row>
    <row r="2039" spans="58:58" x14ac:dyDescent="0.2">
      <c r="BF2039" s="86" t="e">
        <f t="shared" si="105"/>
        <v>#NUM!</v>
      </c>
    </row>
    <row r="2040" spans="58:58" x14ac:dyDescent="0.2">
      <c r="BF2040" s="86" t="e">
        <f t="shared" si="105"/>
        <v>#NUM!</v>
      </c>
    </row>
    <row r="2041" spans="58:58" x14ac:dyDescent="0.2">
      <c r="BF2041" s="86" t="e">
        <f t="shared" si="105"/>
        <v>#NUM!</v>
      </c>
    </row>
    <row r="2042" spans="58:58" x14ac:dyDescent="0.2">
      <c r="BF2042" s="86" t="e">
        <f t="shared" si="105"/>
        <v>#NUM!</v>
      </c>
    </row>
    <row r="2043" spans="58:58" x14ac:dyDescent="0.2">
      <c r="BF2043" s="86" t="e">
        <f t="shared" si="105"/>
        <v>#NUM!</v>
      </c>
    </row>
    <row r="2044" spans="58:58" x14ac:dyDescent="0.2">
      <c r="BF2044" s="86" t="e">
        <f t="shared" si="105"/>
        <v>#NUM!</v>
      </c>
    </row>
    <row r="2045" spans="58:58" x14ac:dyDescent="0.2">
      <c r="BF2045" s="86" t="e">
        <f t="shared" si="105"/>
        <v>#NUM!</v>
      </c>
    </row>
    <row r="2046" spans="58:58" x14ac:dyDescent="0.2">
      <c r="BF2046" s="86" t="e">
        <f t="shared" si="105"/>
        <v>#NUM!</v>
      </c>
    </row>
    <row r="2047" spans="58:58" x14ac:dyDescent="0.2">
      <c r="BF2047" s="86" t="e">
        <f t="shared" si="105"/>
        <v>#NUM!</v>
      </c>
    </row>
    <row r="2048" spans="58:58" x14ac:dyDescent="0.2">
      <c r="BF2048" s="86" t="e">
        <f t="shared" si="105"/>
        <v>#NUM!</v>
      </c>
    </row>
    <row r="2049" spans="58:58" x14ac:dyDescent="0.2">
      <c r="BF2049" s="86" t="e">
        <f t="shared" si="105"/>
        <v>#NUM!</v>
      </c>
    </row>
    <row r="2050" spans="58:58" x14ac:dyDescent="0.2">
      <c r="BF2050" s="86" t="e">
        <f t="shared" si="105"/>
        <v>#NUM!</v>
      </c>
    </row>
    <row r="2051" spans="58:58" x14ac:dyDescent="0.2">
      <c r="BF2051" s="86" t="e">
        <f t="shared" si="105"/>
        <v>#NUM!</v>
      </c>
    </row>
    <row r="2052" spans="58:58" x14ac:dyDescent="0.2">
      <c r="BF2052" s="86" t="e">
        <f t="shared" si="105"/>
        <v>#NUM!</v>
      </c>
    </row>
    <row r="2053" spans="58:58" x14ac:dyDescent="0.2">
      <c r="BF2053" s="86" t="e">
        <f t="shared" si="105"/>
        <v>#NUM!</v>
      </c>
    </row>
    <row r="2054" spans="58:58" x14ac:dyDescent="0.2">
      <c r="BF2054" s="86" t="e">
        <f t="shared" si="105"/>
        <v>#NUM!</v>
      </c>
    </row>
    <row r="2055" spans="58:58" x14ac:dyDescent="0.2">
      <c r="BF2055" s="86" t="e">
        <f t="shared" si="105"/>
        <v>#NUM!</v>
      </c>
    </row>
    <row r="2056" spans="58:58" x14ac:dyDescent="0.2">
      <c r="BF2056" s="86" t="e">
        <f t="shared" si="105"/>
        <v>#NUM!</v>
      </c>
    </row>
    <row r="2057" spans="58:58" x14ac:dyDescent="0.2">
      <c r="BF2057" s="86" t="e">
        <f t="shared" si="105"/>
        <v>#NUM!</v>
      </c>
    </row>
    <row r="2058" spans="58:58" x14ac:dyDescent="0.2">
      <c r="BF2058" s="86" t="e">
        <f t="shared" si="105"/>
        <v>#NUM!</v>
      </c>
    </row>
    <row r="2059" spans="58:58" x14ac:dyDescent="0.2">
      <c r="BF2059" s="86" t="e">
        <f t="shared" si="105"/>
        <v>#NUM!</v>
      </c>
    </row>
    <row r="2060" spans="58:58" x14ac:dyDescent="0.2">
      <c r="BF2060" s="86" t="e">
        <f t="shared" si="105"/>
        <v>#NUM!</v>
      </c>
    </row>
    <row r="2061" spans="58:58" x14ac:dyDescent="0.2">
      <c r="BF2061" s="86" t="e">
        <f t="shared" si="105"/>
        <v>#NUM!</v>
      </c>
    </row>
    <row r="2062" spans="58:58" x14ac:dyDescent="0.2">
      <c r="BF2062" s="86" t="e">
        <f t="shared" si="105"/>
        <v>#NUM!</v>
      </c>
    </row>
    <row r="2063" spans="58:58" x14ac:dyDescent="0.2">
      <c r="BF2063" s="86" t="e">
        <f t="shared" si="105"/>
        <v>#NUM!</v>
      </c>
    </row>
    <row r="2064" spans="58:58" x14ac:dyDescent="0.2">
      <c r="BF2064" s="86" t="e">
        <f t="shared" si="105"/>
        <v>#NUM!</v>
      </c>
    </row>
    <row r="2065" spans="58:58" x14ac:dyDescent="0.2">
      <c r="BF2065" s="86" t="e">
        <f t="shared" si="105"/>
        <v>#NUM!</v>
      </c>
    </row>
    <row r="2066" spans="58:58" x14ac:dyDescent="0.2">
      <c r="BF2066" s="86" t="e">
        <f t="shared" si="105"/>
        <v>#NUM!</v>
      </c>
    </row>
    <row r="2067" spans="58:58" x14ac:dyDescent="0.2">
      <c r="BF2067" s="86" t="e">
        <f t="shared" si="105"/>
        <v>#NUM!</v>
      </c>
    </row>
    <row r="2068" spans="58:58" x14ac:dyDescent="0.2">
      <c r="BF2068" s="86" t="e">
        <f t="shared" si="105"/>
        <v>#NUM!</v>
      </c>
    </row>
    <row r="2069" spans="58:58" x14ac:dyDescent="0.2">
      <c r="BF2069" s="86" t="e">
        <f t="shared" si="105"/>
        <v>#NUM!</v>
      </c>
    </row>
    <row r="2070" spans="58:58" x14ac:dyDescent="0.2">
      <c r="BF2070" s="86" t="e">
        <f t="shared" si="105"/>
        <v>#NUM!</v>
      </c>
    </row>
    <row r="2071" spans="58:58" x14ac:dyDescent="0.2">
      <c r="BF2071" s="86" t="e">
        <f t="shared" si="105"/>
        <v>#NUM!</v>
      </c>
    </row>
    <row r="2072" spans="58:58" x14ac:dyDescent="0.2">
      <c r="BF2072" s="86" t="e">
        <f t="shared" si="105"/>
        <v>#NUM!</v>
      </c>
    </row>
    <row r="2073" spans="58:58" x14ac:dyDescent="0.2">
      <c r="BF2073" s="86" t="e">
        <f t="shared" si="105"/>
        <v>#NUM!</v>
      </c>
    </row>
    <row r="2074" spans="58:58" x14ac:dyDescent="0.2">
      <c r="BF2074" s="86" t="e">
        <f t="shared" si="105"/>
        <v>#NUM!</v>
      </c>
    </row>
    <row r="2075" spans="58:58" x14ac:dyDescent="0.2">
      <c r="BF2075" s="86" t="e">
        <f t="shared" si="105"/>
        <v>#NUM!</v>
      </c>
    </row>
    <row r="2076" spans="58:58" x14ac:dyDescent="0.2">
      <c r="BF2076" s="86" t="e">
        <f t="shared" si="105"/>
        <v>#NUM!</v>
      </c>
    </row>
    <row r="2077" spans="58:58" x14ac:dyDescent="0.2">
      <c r="BF2077" s="86" t="e">
        <f t="shared" si="105"/>
        <v>#NUM!</v>
      </c>
    </row>
    <row r="2078" spans="58:58" x14ac:dyDescent="0.2">
      <c r="BF2078" s="86" t="e">
        <f t="shared" si="105"/>
        <v>#NUM!</v>
      </c>
    </row>
    <row r="2079" spans="58:58" x14ac:dyDescent="0.2">
      <c r="BF2079" s="86" t="e">
        <f t="shared" si="105"/>
        <v>#NUM!</v>
      </c>
    </row>
    <row r="2080" spans="58:58" x14ac:dyDescent="0.2">
      <c r="BF2080" s="86" t="e">
        <f t="shared" si="105"/>
        <v>#NUM!</v>
      </c>
    </row>
    <row r="2081" spans="58:58" x14ac:dyDescent="0.2">
      <c r="BF2081" s="86" t="e">
        <f t="shared" si="105"/>
        <v>#NUM!</v>
      </c>
    </row>
    <row r="2082" spans="58:58" x14ac:dyDescent="0.2">
      <c r="BF2082" s="86" t="e">
        <f t="shared" si="105"/>
        <v>#NUM!</v>
      </c>
    </row>
    <row r="2083" spans="58:58" x14ac:dyDescent="0.2">
      <c r="BF2083" s="86" t="e">
        <f t="shared" si="105"/>
        <v>#NUM!</v>
      </c>
    </row>
    <row r="2084" spans="58:58" x14ac:dyDescent="0.2">
      <c r="BF2084" s="86" t="e">
        <f t="shared" si="105"/>
        <v>#NUM!</v>
      </c>
    </row>
    <row r="2085" spans="58:58" x14ac:dyDescent="0.2">
      <c r="BF2085" s="86" t="e">
        <f t="shared" si="105"/>
        <v>#NUM!</v>
      </c>
    </row>
    <row r="2086" spans="58:58" x14ac:dyDescent="0.2">
      <c r="BF2086" s="86" t="e">
        <f t="shared" ref="BF2086:BF2149" si="106">MEDIAN(BH2086:BU2086)</f>
        <v>#NUM!</v>
      </c>
    </row>
    <row r="2087" spans="58:58" x14ac:dyDescent="0.2">
      <c r="BF2087" s="86" t="e">
        <f t="shared" si="106"/>
        <v>#NUM!</v>
      </c>
    </row>
    <row r="2088" spans="58:58" x14ac:dyDescent="0.2">
      <c r="BF2088" s="86" t="e">
        <f t="shared" si="106"/>
        <v>#NUM!</v>
      </c>
    </row>
    <row r="2089" spans="58:58" x14ac:dyDescent="0.2">
      <c r="BF2089" s="86" t="e">
        <f t="shared" si="106"/>
        <v>#NUM!</v>
      </c>
    </row>
    <row r="2090" spans="58:58" x14ac:dyDescent="0.2">
      <c r="BF2090" s="86" t="e">
        <f t="shared" si="106"/>
        <v>#NUM!</v>
      </c>
    </row>
    <row r="2091" spans="58:58" x14ac:dyDescent="0.2">
      <c r="BF2091" s="86" t="e">
        <f t="shared" si="106"/>
        <v>#NUM!</v>
      </c>
    </row>
    <row r="2092" spans="58:58" x14ac:dyDescent="0.2">
      <c r="BF2092" s="86" t="e">
        <f t="shared" si="106"/>
        <v>#NUM!</v>
      </c>
    </row>
    <row r="2093" spans="58:58" x14ac:dyDescent="0.2">
      <c r="BF2093" s="86" t="e">
        <f t="shared" si="106"/>
        <v>#NUM!</v>
      </c>
    </row>
    <row r="2094" spans="58:58" x14ac:dyDescent="0.2">
      <c r="BF2094" s="86" t="e">
        <f t="shared" si="106"/>
        <v>#NUM!</v>
      </c>
    </row>
    <row r="2095" spans="58:58" x14ac:dyDescent="0.2">
      <c r="BF2095" s="86" t="e">
        <f t="shared" si="106"/>
        <v>#NUM!</v>
      </c>
    </row>
    <row r="2096" spans="58:58" x14ac:dyDescent="0.2">
      <c r="BF2096" s="86" t="e">
        <f t="shared" si="106"/>
        <v>#NUM!</v>
      </c>
    </row>
    <row r="2097" spans="58:58" x14ac:dyDescent="0.2">
      <c r="BF2097" s="86" t="e">
        <f t="shared" si="106"/>
        <v>#NUM!</v>
      </c>
    </row>
    <row r="2098" spans="58:58" x14ac:dyDescent="0.2">
      <c r="BF2098" s="86" t="e">
        <f t="shared" si="106"/>
        <v>#NUM!</v>
      </c>
    </row>
    <row r="2099" spans="58:58" x14ac:dyDescent="0.2">
      <c r="BF2099" s="86" t="e">
        <f t="shared" si="106"/>
        <v>#NUM!</v>
      </c>
    </row>
    <row r="2100" spans="58:58" x14ac:dyDescent="0.2">
      <c r="BF2100" s="86" t="e">
        <f t="shared" si="106"/>
        <v>#NUM!</v>
      </c>
    </row>
    <row r="2101" spans="58:58" x14ac:dyDescent="0.2">
      <c r="BF2101" s="86" t="e">
        <f t="shared" si="106"/>
        <v>#NUM!</v>
      </c>
    </row>
    <row r="2102" spans="58:58" x14ac:dyDescent="0.2">
      <c r="BF2102" s="86" t="e">
        <f t="shared" si="106"/>
        <v>#NUM!</v>
      </c>
    </row>
    <row r="2103" spans="58:58" x14ac:dyDescent="0.2">
      <c r="BF2103" s="86" t="e">
        <f t="shared" si="106"/>
        <v>#NUM!</v>
      </c>
    </row>
    <row r="2104" spans="58:58" x14ac:dyDescent="0.2">
      <c r="BF2104" s="86" t="e">
        <f t="shared" si="106"/>
        <v>#NUM!</v>
      </c>
    </row>
    <row r="2105" spans="58:58" x14ac:dyDescent="0.2">
      <c r="BF2105" s="86" t="e">
        <f t="shared" si="106"/>
        <v>#NUM!</v>
      </c>
    </row>
    <row r="2106" spans="58:58" x14ac:dyDescent="0.2">
      <c r="BF2106" s="86" t="e">
        <f t="shared" si="106"/>
        <v>#NUM!</v>
      </c>
    </row>
    <row r="2107" spans="58:58" x14ac:dyDescent="0.2">
      <c r="BF2107" s="86" t="e">
        <f t="shared" si="106"/>
        <v>#NUM!</v>
      </c>
    </row>
    <row r="2108" spans="58:58" x14ac:dyDescent="0.2">
      <c r="BF2108" s="86" t="e">
        <f t="shared" si="106"/>
        <v>#NUM!</v>
      </c>
    </row>
    <row r="2109" spans="58:58" x14ac:dyDescent="0.2">
      <c r="BF2109" s="86" t="e">
        <f t="shared" si="106"/>
        <v>#NUM!</v>
      </c>
    </row>
    <row r="2110" spans="58:58" x14ac:dyDescent="0.2">
      <c r="BF2110" s="86" t="e">
        <f t="shared" si="106"/>
        <v>#NUM!</v>
      </c>
    </row>
    <row r="2111" spans="58:58" x14ac:dyDescent="0.2">
      <c r="BF2111" s="86" t="e">
        <f t="shared" si="106"/>
        <v>#NUM!</v>
      </c>
    </row>
    <row r="2112" spans="58:58" x14ac:dyDescent="0.2">
      <c r="BF2112" s="86" t="e">
        <f t="shared" si="106"/>
        <v>#NUM!</v>
      </c>
    </row>
    <row r="2113" spans="58:58" x14ac:dyDescent="0.2">
      <c r="BF2113" s="86" t="e">
        <f t="shared" si="106"/>
        <v>#NUM!</v>
      </c>
    </row>
    <row r="2114" spans="58:58" x14ac:dyDescent="0.2">
      <c r="BF2114" s="86" t="e">
        <f t="shared" si="106"/>
        <v>#NUM!</v>
      </c>
    </row>
    <row r="2115" spans="58:58" x14ac:dyDescent="0.2">
      <c r="BF2115" s="86" t="e">
        <f t="shared" si="106"/>
        <v>#NUM!</v>
      </c>
    </row>
    <row r="2116" spans="58:58" x14ac:dyDescent="0.2">
      <c r="BF2116" s="86" t="e">
        <f t="shared" si="106"/>
        <v>#NUM!</v>
      </c>
    </row>
    <row r="2117" spans="58:58" x14ac:dyDescent="0.2">
      <c r="BF2117" s="86" t="e">
        <f t="shared" si="106"/>
        <v>#NUM!</v>
      </c>
    </row>
    <row r="2118" spans="58:58" x14ac:dyDescent="0.2">
      <c r="BF2118" s="86" t="e">
        <f t="shared" si="106"/>
        <v>#NUM!</v>
      </c>
    </row>
    <row r="2119" spans="58:58" x14ac:dyDescent="0.2">
      <c r="BF2119" s="86" t="e">
        <f t="shared" si="106"/>
        <v>#NUM!</v>
      </c>
    </row>
    <row r="2120" spans="58:58" x14ac:dyDescent="0.2">
      <c r="BF2120" s="86" t="e">
        <f t="shared" si="106"/>
        <v>#NUM!</v>
      </c>
    </row>
    <row r="2121" spans="58:58" x14ac:dyDescent="0.2">
      <c r="BF2121" s="86" t="e">
        <f t="shared" si="106"/>
        <v>#NUM!</v>
      </c>
    </row>
    <row r="2122" spans="58:58" x14ac:dyDescent="0.2">
      <c r="BF2122" s="86" t="e">
        <f t="shared" si="106"/>
        <v>#NUM!</v>
      </c>
    </row>
    <row r="2123" spans="58:58" x14ac:dyDescent="0.2">
      <c r="BF2123" s="86" t="e">
        <f t="shared" si="106"/>
        <v>#NUM!</v>
      </c>
    </row>
    <row r="2124" spans="58:58" x14ac:dyDescent="0.2">
      <c r="BF2124" s="86" t="e">
        <f t="shared" si="106"/>
        <v>#NUM!</v>
      </c>
    </row>
    <row r="2125" spans="58:58" x14ac:dyDescent="0.2">
      <c r="BF2125" s="86" t="e">
        <f t="shared" si="106"/>
        <v>#NUM!</v>
      </c>
    </row>
    <row r="2126" spans="58:58" x14ac:dyDescent="0.2">
      <c r="BF2126" s="86" t="e">
        <f t="shared" si="106"/>
        <v>#NUM!</v>
      </c>
    </row>
    <row r="2127" spans="58:58" x14ac:dyDescent="0.2">
      <c r="BF2127" s="86" t="e">
        <f t="shared" si="106"/>
        <v>#NUM!</v>
      </c>
    </row>
    <row r="2128" spans="58:58" x14ac:dyDescent="0.2">
      <c r="BF2128" s="86" t="e">
        <f t="shared" si="106"/>
        <v>#NUM!</v>
      </c>
    </row>
    <row r="2129" spans="58:58" x14ac:dyDescent="0.2">
      <c r="BF2129" s="86" t="e">
        <f t="shared" si="106"/>
        <v>#NUM!</v>
      </c>
    </row>
    <row r="2130" spans="58:58" x14ac:dyDescent="0.2">
      <c r="BF2130" s="86" t="e">
        <f t="shared" si="106"/>
        <v>#NUM!</v>
      </c>
    </row>
    <row r="2131" spans="58:58" x14ac:dyDescent="0.2">
      <c r="BF2131" s="86" t="e">
        <f t="shared" si="106"/>
        <v>#NUM!</v>
      </c>
    </row>
    <row r="2132" spans="58:58" x14ac:dyDescent="0.2">
      <c r="BF2132" s="86" t="e">
        <f t="shared" si="106"/>
        <v>#NUM!</v>
      </c>
    </row>
    <row r="2133" spans="58:58" x14ac:dyDescent="0.2">
      <c r="BF2133" s="86" t="e">
        <f t="shared" si="106"/>
        <v>#NUM!</v>
      </c>
    </row>
    <row r="2134" spans="58:58" x14ac:dyDescent="0.2">
      <c r="BF2134" s="86" t="e">
        <f t="shared" si="106"/>
        <v>#NUM!</v>
      </c>
    </row>
    <row r="2135" spans="58:58" x14ac:dyDescent="0.2">
      <c r="BF2135" s="86" t="e">
        <f t="shared" si="106"/>
        <v>#NUM!</v>
      </c>
    </row>
    <row r="2136" spans="58:58" x14ac:dyDescent="0.2">
      <c r="BF2136" s="86" t="e">
        <f t="shared" si="106"/>
        <v>#NUM!</v>
      </c>
    </row>
    <row r="2137" spans="58:58" x14ac:dyDescent="0.2">
      <c r="BF2137" s="86" t="e">
        <f t="shared" si="106"/>
        <v>#NUM!</v>
      </c>
    </row>
    <row r="2138" spans="58:58" x14ac:dyDescent="0.2">
      <c r="BF2138" s="86" t="e">
        <f t="shared" si="106"/>
        <v>#NUM!</v>
      </c>
    </row>
    <row r="2139" spans="58:58" x14ac:dyDescent="0.2">
      <c r="BF2139" s="86" t="e">
        <f t="shared" si="106"/>
        <v>#NUM!</v>
      </c>
    </row>
    <row r="2140" spans="58:58" x14ac:dyDescent="0.2">
      <c r="BF2140" s="86" t="e">
        <f t="shared" si="106"/>
        <v>#NUM!</v>
      </c>
    </row>
    <row r="2141" spans="58:58" x14ac:dyDescent="0.2">
      <c r="BF2141" s="86" t="e">
        <f t="shared" si="106"/>
        <v>#NUM!</v>
      </c>
    </row>
    <row r="2142" spans="58:58" x14ac:dyDescent="0.2">
      <c r="BF2142" s="86" t="e">
        <f t="shared" si="106"/>
        <v>#NUM!</v>
      </c>
    </row>
    <row r="2143" spans="58:58" x14ac:dyDescent="0.2">
      <c r="BF2143" s="86" t="e">
        <f t="shared" si="106"/>
        <v>#NUM!</v>
      </c>
    </row>
    <row r="2144" spans="58:58" x14ac:dyDescent="0.2">
      <c r="BF2144" s="86" t="e">
        <f t="shared" si="106"/>
        <v>#NUM!</v>
      </c>
    </row>
    <row r="2145" spans="58:58" x14ac:dyDescent="0.2">
      <c r="BF2145" s="86" t="e">
        <f t="shared" si="106"/>
        <v>#NUM!</v>
      </c>
    </row>
    <row r="2146" spans="58:58" x14ac:dyDescent="0.2">
      <c r="BF2146" s="86" t="e">
        <f t="shared" si="106"/>
        <v>#NUM!</v>
      </c>
    </row>
    <row r="2147" spans="58:58" x14ac:dyDescent="0.2">
      <c r="BF2147" s="86" t="e">
        <f t="shared" si="106"/>
        <v>#NUM!</v>
      </c>
    </row>
    <row r="2148" spans="58:58" x14ac:dyDescent="0.2">
      <c r="BF2148" s="86" t="e">
        <f t="shared" si="106"/>
        <v>#NUM!</v>
      </c>
    </row>
    <row r="2149" spans="58:58" x14ac:dyDescent="0.2">
      <c r="BF2149" s="86" t="e">
        <f t="shared" si="106"/>
        <v>#NUM!</v>
      </c>
    </row>
    <row r="2150" spans="58:58" x14ac:dyDescent="0.2">
      <c r="BF2150" s="86" t="e">
        <f t="shared" ref="BF2150:BF2213" si="107">MEDIAN(BH2150:BU2150)</f>
        <v>#NUM!</v>
      </c>
    </row>
    <row r="2151" spans="58:58" x14ac:dyDescent="0.2">
      <c r="BF2151" s="86" t="e">
        <f t="shared" si="107"/>
        <v>#NUM!</v>
      </c>
    </row>
    <row r="2152" spans="58:58" x14ac:dyDescent="0.2">
      <c r="BF2152" s="86" t="e">
        <f t="shared" si="107"/>
        <v>#NUM!</v>
      </c>
    </row>
    <row r="2153" spans="58:58" x14ac:dyDescent="0.2">
      <c r="BF2153" s="86" t="e">
        <f t="shared" si="107"/>
        <v>#NUM!</v>
      </c>
    </row>
    <row r="2154" spans="58:58" x14ac:dyDescent="0.2">
      <c r="BF2154" s="86" t="e">
        <f t="shared" si="107"/>
        <v>#NUM!</v>
      </c>
    </row>
    <row r="2155" spans="58:58" x14ac:dyDescent="0.2">
      <c r="BF2155" s="86" t="e">
        <f t="shared" si="107"/>
        <v>#NUM!</v>
      </c>
    </row>
    <row r="2156" spans="58:58" x14ac:dyDescent="0.2">
      <c r="BF2156" s="86" t="e">
        <f t="shared" si="107"/>
        <v>#NUM!</v>
      </c>
    </row>
    <row r="2157" spans="58:58" x14ac:dyDescent="0.2">
      <c r="BF2157" s="86" t="e">
        <f t="shared" si="107"/>
        <v>#NUM!</v>
      </c>
    </row>
    <row r="2158" spans="58:58" x14ac:dyDescent="0.2">
      <c r="BF2158" s="86" t="e">
        <f t="shared" si="107"/>
        <v>#NUM!</v>
      </c>
    </row>
    <row r="2159" spans="58:58" x14ac:dyDescent="0.2">
      <c r="BF2159" s="86" t="e">
        <f t="shared" si="107"/>
        <v>#NUM!</v>
      </c>
    </row>
    <row r="2160" spans="58:58" x14ac:dyDescent="0.2">
      <c r="BF2160" s="86" t="e">
        <f t="shared" si="107"/>
        <v>#NUM!</v>
      </c>
    </row>
    <row r="2161" spans="58:58" x14ac:dyDescent="0.2">
      <c r="BF2161" s="86" t="e">
        <f t="shared" si="107"/>
        <v>#NUM!</v>
      </c>
    </row>
    <row r="2162" spans="58:58" x14ac:dyDescent="0.2">
      <c r="BF2162" s="86" t="e">
        <f t="shared" si="107"/>
        <v>#NUM!</v>
      </c>
    </row>
    <row r="2163" spans="58:58" x14ac:dyDescent="0.2">
      <c r="BF2163" s="86" t="e">
        <f t="shared" si="107"/>
        <v>#NUM!</v>
      </c>
    </row>
    <row r="2164" spans="58:58" x14ac:dyDescent="0.2">
      <c r="BF2164" s="86" t="e">
        <f t="shared" si="107"/>
        <v>#NUM!</v>
      </c>
    </row>
    <row r="2165" spans="58:58" x14ac:dyDescent="0.2">
      <c r="BF2165" s="86" t="e">
        <f t="shared" si="107"/>
        <v>#NUM!</v>
      </c>
    </row>
    <row r="2166" spans="58:58" x14ac:dyDescent="0.2">
      <c r="BF2166" s="86" t="e">
        <f t="shared" si="107"/>
        <v>#NUM!</v>
      </c>
    </row>
    <row r="2167" spans="58:58" x14ac:dyDescent="0.2">
      <c r="BF2167" s="86" t="e">
        <f t="shared" si="107"/>
        <v>#NUM!</v>
      </c>
    </row>
    <row r="2168" spans="58:58" x14ac:dyDescent="0.2">
      <c r="BF2168" s="86" t="e">
        <f t="shared" si="107"/>
        <v>#NUM!</v>
      </c>
    </row>
    <row r="2169" spans="58:58" x14ac:dyDescent="0.2">
      <c r="BF2169" s="86" t="e">
        <f t="shared" si="107"/>
        <v>#NUM!</v>
      </c>
    </row>
    <row r="2170" spans="58:58" x14ac:dyDescent="0.2">
      <c r="BF2170" s="86" t="e">
        <f t="shared" si="107"/>
        <v>#NUM!</v>
      </c>
    </row>
    <row r="2171" spans="58:58" x14ac:dyDescent="0.2">
      <c r="BF2171" s="86" t="e">
        <f t="shared" si="107"/>
        <v>#NUM!</v>
      </c>
    </row>
    <row r="2172" spans="58:58" x14ac:dyDescent="0.2">
      <c r="BF2172" s="86" t="e">
        <f t="shared" si="107"/>
        <v>#NUM!</v>
      </c>
    </row>
    <row r="2173" spans="58:58" x14ac:dyDescent="0.2">
      <c r="BF2173" s="86" t="e">
        <f t="shared" si="107"/>
        <v>#NUM!</v>
      </c>
    </row>
    <row r="2174" spans="58:58" x14ac:dyDescent="0.2">
      <c r="BF2174" s="86" t="e">
        <f t="shared" si="107"/>
        <v>#NUM!</v>
      </c>
    </row>
    <row r="2175" spans="58:58" x14ac:dyDescent="0.2">
      <c r="BF2175" s="86" t="e">
        <f t="shared" si="107"/>
        <v>#NUM!</v>
      </c>
    </row>
    <row r="2176" spans="58:58" x14ac:dyDescent="0.2">
      <c r="BF2176" s="86" t="e">
        <f t="shared" si="107"/>
        <v>#NUM!</v>
      </c>
    </row>
    <row r="2177" spans="58:58" x14ac:dyDescent="0.2">
      <c r="BF2177" s="86" t="e">
        <f t="shared" si="107"/>
        <v>#NUM!</v>
      </c>
    </row>
    <row r="2178" spans="58:58" x14ac:dyDescent="0.2">
      <c r="BF2178" s="86" t="e">
        <f t="shared" si="107"/>
        <v>#NUM!</v>
      </c>
    </row>
    <row r="2179" spans="58:58" x14ac:dyDescent="0.2">
      <c r="BF2179" s="86" t="e">
        <f t="shared" si="107"/>
        <v>#NUM!</v>
      </c>
    </row>
    <row r="2180" spans="58:58" x14ac:dyDescent="0.2">
      <c r="BF2180" s="86" t="e">
        <f t="shared" si="107"/>
        <v>#NUM!</v>
      </c>
    </row>
    <row r="2181" spans="58:58" x14ac:dyDescent="0.2">
      <c r="BF2181" s="86" t="e">
        <f t="shared" si="107"/>
        <v>#NUM!</v>
      </c>
    </row>
    <row r="2182" spans="58:58" x14ac:dyDescent="0.2">
      <c r="BF2182" s="86" t="e">
        <f t="shared" si="107"/>
        <v>#NUM!</v>
      </c>
    </row>
    <row r="2183" spans="58:58" x14ac:dyDescent="0.2">
      <c r="BF2183" s="86" t="e">
        <f t="shared" si="107"/>
        <v>#NUM!</v>
      </c>
    </row>
    <row r="2184" spans="58:58" x14ac:dyDescent="0.2">
      <c r="BF2184" s="86" t="e">
        <f t="shared" si="107"/>
        <v>#NUM!</v>
      </c>
    </row>
    <row r="2185" spans="58:58" x14ac:dyDescent="0.2">
      <c r="BF2185" s="86" t="e">
        <f t="shared" si="107"/>
        <v>#NUM!</v>
      </c>
    </row>
    <row r="2186" spans="58:58" x14ac:dyDescent="0.2">
      <c r="BF2186" s="86" t="e">
        <f t="shared" si="107"/>
        <v>#NUM!</v>
      </c>
    </row>
    <row r="2187" spans="58:58" x14ac:dyDescent="0.2">
      <c r="BF2187" s="86" t="e">
        <f t="shared" si="107"/>
        <v>#NUM!</v>
      </c>
    </row>
    <row r="2188" spans="58:58" x14ac:dyDescent="0.2">
      <c r="BF2188" s="86" t="e">
        <f t="shared" si="107"/>
        <v>#NUM!</v>
      </c>
    </row>
    <row r="2189" spans="58:58" x14ac:dyDescent="0.2">
      <c r="BF2189" s="86" t="e">
        <f t="shared" si="107"/>
        <v>#NUM!</v>
      </c>
    </row>
    <row r="2190" spans="58:58" x14ac:dyDescent="0.2">
      <c r="BF2190" s="86" t="e">
        <f t="shared" si="107"/>
        <v>#NUM!</v>
      </c>
    </row>
    <row r="2191" spans="58:58" x14ac:dyDescent="0.2">
      <c r="BF2191" s="86" t="e">
        <f t="shared" si="107"/>
        <v>#NUM!</v>
      </c>
    </row>
    <row r="2192" spans="58:58" x14ac:dyDescent="0.2">
      <c r="BF2192" s="86" t="e">
        <f t="shared" si="107"/>
        <v>#NUM!</v>
      </c>
    </row>
    <row r="2193" spans="58:58" x14ac:dyDescent="0.2">
      <c r="BF2193" s="86" t="e">
        <f t="shared" si="107"/>
        <v>#NUM!</v>
      </c>
    </row>
    <row r="2194" spans="58:58" x14ac:dyDescent="0.2">
      <c r="BF2194" s="86" t="e">
        <f t="shared" si="107"/>
        <v>#NUM!</v>
      </c>
    </row>
    <row r="2195" spans="58:58" x14ac:dyDescent="0.2">
      <c r="BF2195" s="86" t="e">
        <f t="shared" si="107"/>
        <v>#NUM!</v>
      </c>
    </row>
    <row r="2196" spans="58:58" x14ac:dyDescent="0.2">
      <c r="BF2196" s="86" t="e">
        <f t="shared" si="107"/>
        <v>#NUM!</v>
      </c>
    </row>
    <row r="2197" spans="58:58" x14ac:dyDescent="0.2">
      <c r="BF2197" s="86" t="e">
        <f t="shared" si="107"/>
        <v>#NUM!</v>
      </c>
    </row>
    <row r="2198" spans="58:58" x14ac:dyDescent="0.2">
      <c r="BF2198" s="86" t="e">
        <f t="shared" si="107"/>
        <v>#NUM!</v>
      </c>
    </row>
    <row r="2199" spans="58:58" x14ac:dyDescent="0.2">
      <c r="BF2199" s="86" t="e">
        <f t="shared" si="107"/>
        <v>#NUM!</v>
      </c>
    </row>
    <row r="2200" spans="58:58" x14ac:dyDescent="0.2">
      <c r="BF2200" s="86" t="e">
        <f t="shared" si="107"/>
        <v>#NUM!</v>
      </c>
    </row>
    <row r="2201" spans="58:58" x14ac:dyDescent="0.2">
      <c r="BF2201" s="86" t="e">
        <f t="shared" si="107"/>
        <v>#NUM!</v>
      </c>
    </row>
    <row r="2202" spans="58:58" x14ac:dyDescent="0.2">
      <c r="BF2202" s="86" t="e">
        <f t="shared" si="107"/>
        <v>#NUM!</v>
      </c>
    </row>
    <row r="2203" spans="58:58" x14ac:dyDescent="0.2">
      <c r="BF2203" s="86" t="e">
        <f t="shared" si="107"/>
        <v>#NUM!</v>
      </c>
    </row>
    <row r="2204" spans="58:58" x14ac:dyDescent="0.2">
      <c r="BF2204" s="86" t="e">
        <f t="shared" si="107"/>
        <v>#NUM!</v>
      </c>
    </row>
    <row r="2205" spans="58:58" x14ac:dyDescent="0.2">
      <c r="BF2205" s="86" t="e">
        <f t="shared" si="107"/>
        <v>#NUM!</v>
      </c>
    </row>
    <row r="2206" spans="58:58" x14ac:dyDescent="0.2">
      <c r="BF2206" s="86" t="e">
        <f t="shared" si="107"/>
        <v>#NUM!</v>
      </c>
    </row>
    <row r="2207" spans="58:58" x14ac:dyDescent="0.2">
      <c r="BF2207" s="86" t="e">
        <f t="shared" si="107"/>
        <v>#NUM!</v>
      </c>
    </row>
    <row r="2208" spans="58:58" x14ac:dyDescent="0.2">
      <c r="BF2208" s="86" t="e">
        <f t="shared" si="107"/>
        <v>#NUM!</v>
      </c>
    </row>
    <row r="2209" spans="58:58" x14ac:dyDescent="0.2">
      <c r="BF2209" s="86" t="e">
        <f t="shared" si="107"/>
        <v>#NUM!</v>
      </c>
    </row>
    <row r="2210" spans="58:58" x14ac:dyDescent="0.2">
      <c r="BF2210" s="86" t="e">
        <f t="shared" si="107"/>
        <v>#NUM!</v>
      </c>
    </row>
    <row r="2211" spans="58:58" x14ac:dyDescent="0.2">
      <c r="BF2211" s="86" t="e">
        <f t="shared" si="107"/>
        <v>#NUM!</v>
      </c>
    </row>
    <row r="2212" spans="58:58" x14ac:dyDescent="0.2">
      <c r="BF2212" s="86" t="e">
        <f t="shared" si="107"/>
        <v>#NUM!</v>
      </c>
    </row>
    <row r="2213" spans="58:58" x14ac:dyDescent="0.2">
      <c r="BF2213" s="86" t="e">
        <f t="shared" si="107"/>
        <v>#NUM!</v>
      </c>
    </row>
    <row r="2214" spans="58:58" x14ac:dyDescent="0.2">
      <c r="BF2214" s="86" t="e">
        <f t="shared" ref="BF2214:BF2277" si="108">MEDIAN(BH2214:BU2214)</f>
        <v>#NUM!</v>
      </c>
    </row>
    <row r="2215" spans="58:58" x14ac:dyDescent="0.2">
      <c r="BF2215" s="86" t="e">
        <f t="shared" si="108"/>
        <v>#NUM!</v>
      </c>
    </row>
    <row r="2216" spans="58:58" x14ac:dyDescent="0.2">
      <c r="BF2216" s="86" t="e">
        <f t="shared" si="108"/>
        <v>#NUM!</v>
      </c>
    </row>
    <row r="2217" spans="58:58" x14ac:dyDescent="0.2">
      <c r="BF2217" s="86" t="e">
        <f t="shared" si="108"/>
        <v>#NUM!</v>
      </c>
    </row>
    <row r="2218" spans="58:58" x14ac:dyDescent="0.2">
      <c r="BF2218" s="86" t="e">
        <f t="shared" si="108"/>
        <v>#NUM!</v>
      </c>
    </row>
    <row r="2219" spans="58:58" x14ac:dyDescent="0.2">
      <c r="BF2219" s="86" t="e">
        <f t="shared" si="108"/>
        <v>#NUM!</v>
      </c>
    </row>
    <row r="2220" spans="58:58" x14ac:dyDescent="0.2">
      <c r="BF2220" s="86" t="e">
        <f t="shared" si="108"/>
        <v>#NUM!</v>
      </c>
    </row>
    <row r="2221" spans="58:58" x14ac:dyDescent="0.2">
      <c r="BF2221" s="86" t="e">
        <f t="shared" si="108"/>
        <v>#NUM!</v>
      </c>
    </row>
    <row r="2222" spans="58:58" x14ac:dyDescent="0.2">
      <c r="BF2222" s="86" t="e">
        <f t="shared" si="108"/>
        <v>#NUM!</v>
      </c>
    </row>
    <row r="2223" spans="58:58" x14ac:dyDescent="0.2">
      <c r="BF2223" s="86" t="e">
        <f t="shared" si="108"/>
        <v>#NUM!</v>
      </c>
    </row>
    <row r="2224" spans="58:58" x14ac:dyDescent="0.2">
      <c r="BF2224" s="86" t="e">
        <f t="shared" si="108"/>
        <v>#NUM!</v>
      </c>
    </row>
    <row r="2225" spans="58:58" x14ac:dyDescent="0.2">
      <c r="BF2225" s="86" t="e">
        <f t="shared" si="108"/>
        <v>#NUM!</v>
      </c>
    </row>
    <row r="2226" spans="58:58" x14ac:dyDescent="0.2">
      <c r="BF2226" s="86" t="e">
        <f t="shared" si="108"/>
        <v>#NUM!</v>
      </c>
    </row>
    <row r="2227" spans="58:58" x14ac:dyDescent="0.2">
      <c r="BF2227" s="86" t="e">
        <f t="shared" si="108"/>
        <v>#NUM!</v>
      </c>
    </row>
    <row r="2228" spans="58:58" x14ac:dyDescent="0.2">
      <c r="BF2228" s="86" t="e">
        <f t="shared" si="108"/>
        <v>#NUM!</v>
      </c>
    </row>
    <row r="2229" spans="58:58" x14ac:dyDescent="0.2">
      <c r="BF2229" s="86" t="e">
        <f t="shared" si="108"/>
        <v>#NUM!</v>
      </c>
    </row>
    <row r="2230" spans="58:58" x14ac:dyDescent="0.2">
      <c r="BF2230" s="86" t="e">
        <f t="shared" si="108"/>
        <v>#NUM!</v>
      </c>
    </row>
    <row r="2231" spans="58:58" x14ac:dyDescent="0.2">
      <c r="BF2231" s="86" t="e">
        <f t="shared" si="108"/>
        <v>#NUM!</v>
      </c>
    </row>
    <row r="2232" spans="58:58" x14ac:dyDescent="0.2">
      <c r="BF2232" s="86" t="e">
        <f t="shared" si="108"/>
        <v>#NUM!</v>
      </c>
    </row>
    <row r="2233" spans="58:58" x14ac:dyDescent="0.2">
      <c r="BF2233" s="86" t="e">
        <f t="shared" si="108"/>
        <v>#NUM!</v>
      </c>
    </row>
    <row r="2234" spans="58:58" x14ac:dyDescent="0.2">
      <c r="BF2234" s="86" t="e">
        <f t="shared" si="108"/>
        <v>#NUM!</v>
      </c>
    </row>
    <row r="2235" spans="58:58" x14ac:dyDescent="0.2">
      <c r="BF2235" s="86" t="e">
        <f t="shared" si="108"/>
        <v>#NUM!</v>
      </c>
    </row>
    <row r="2236" spans="58:58" x14ac:dyDescent="0.2">
      <c r="BF2236" s="86" t="e">
        <f t="shared" si="108"/>
        <v>#NUM!</v>
      </c>
    </row>
    <row r="2237" spans="58:58" x14ac:dyDescent="0.2">
      <c r="BF2237" s="86" t="e">
        <f t="shared" si="108"/>
        <v>#NUM!</v>
      </c>
    </row>
    <row r="2238" spans="58:58" x14ac:dyDescent="0.2">
      <c r="BF2238" s="86" t="e">
        <f t="shared" si="108"/>
        <v>#NUM!</v>
      </c>
    </row>
    <row r="2239" spans="58:58" x14ac:dyDescent="0.2">
      <c r="BF2239" s="86" t="e">
        <f t="shared" si="108"/>
        <v>#NUM!</v>
      </c>
    </row>
    <row r="2240" spans="58:58" x14ac:dyDescent="0.2">
      <c r="BF2240" s="86" t="e">
        <f t="shared" si="108"/>
        <v>#NUM!</v>
      </c>
    </row>
    <row r="2241" spans="58:58" x14ac:dyDescent="0.2">
      <c r="BF2241" s="86" t="e">
        <f t="shared" si="108"/>
        <v>#NUM!</v>
      </c>
    </row>
    <row r="2242" spans="58:58" x14ac:dyDescent="0.2">
      <c r="BF2242" s="86" t="e">
        <f t="shared" si="108"/>
        <v>#NUM!</v>
      </c>
    </row>
    <row r="2243" spans="58:58" x14ac:dyDescent="0.2">
      <c r="BF2243" s="86" t="e">
        <f t="shared" si="108"/>
        <v>#NUM!</v>
      </c>
    </row>
    <row r="2244" spans="58:58" x14ac:dyDescent="0.2">
      <c r="BF2244" s="86" t="e">
        <f t="shared" si="108"/>
        <v>#NUM!</v>
      </c>
    </row>
    <row r="2245" spans="58:58" x14ac:dyDescent="0.2">
      <c r="BF2245" s="86" t="e">
        <f t="shared" si="108"/>
        <v>#NUM!</v>
      </c>
    </row>
    <row r="2246" spans="58:58" x14ac:dyDescent="0.2">
      <c r="BF2246" s="86" t="e">
        <f t="shared" si="108"/>
        <v>#NUM!</v>
      </c>
    </row>
    <row r="2247" spans="58:58" x14ac:dyDescent="0.2">
      <c r="BF2247" s="86" t="e">
        <f t="shared" si="108"/>
        <v>#NUM!</v>
      </c>
    </row>
    <row r="2248" spans="58:58" x14ac:dyDescent="0.2">
      <c r="BF2248" s="86" t="e">
        <f t="shared" si="108"/>
        <v>#NUM!</v>
      </c>
    </row>
    <row r="2249" spans="58:58" x14ac:dyDescent="0.2">
      <c r="BF2249" s="86" t="e">
        <f t="shared" si="108"/>
        <v>#NUM!</v>
      </c>
    </row>
    <row r="2250" spans="58:58" x14ac:dyDescent="0.2">
      <c r="BF2250" s="86" t="e">
        <f t="shared" si="108"/>
        <v>#NUM!</v>
      </c>
    </row>
    <row r="2251" spans="58:58" x14ac:dyDescent="0.2">
      <c r="BF2251" s="86" t="e">
        <f t="shared" si="108"/>
        <v>#NUM!</v>
      </c>
    </row>
    <row r="2252" spans="58:58" x14ac:dyDescent="0.2">
      <c r="BF2252" s="86" t="e">
        <f t="shared" si="108"/>
        <v>#NUM!</v>
      </c>
    </row>
    <row r="2253" spans="58:58" x14ac:dyDescent="0.2">
      <c r="BF2253" s="86" t="e">
        <f t="shared" si="108"/>
        <v>#NUM!</v>
      </c>
    </row>
    <row r="2254" spans="58:58" x14ac:dyDescent="0.2">
      <c r="BF2254" s="86" t="e">
        <f t="shared" si="108"/>
        <v>#NUM!</v>
      </c>
    </row>
    <row r="2255" spans="58:58" x14ac:dyDescent="0.2">
      <c r="BF2255" s="86" t="e">
        <f t="shared" si="108"/>
        <v>#NUM!</v>
      </c>
    </row>
    <row r="2256" spans="58:58" x14ac:dyDescent="0.2">
      <c r="BF2256" s="86" t="e">
        <f t="shared" si="108"/>
        <v>#NUM!</v>
      </c>
    </row>
    <row r="2257" spans="58:58" x14ac:dyDescent="0.2">
      <c r="BF2257" s="86" t="e">
        <f t="shared" si="108"/>
        <v>#NUM!</v>
      </c>
    </row>
    <row r="2258" spans="58:58" x14ac:dyDescent="0.2">
      <c r="BF2258" s="86" t="e">
        <f t="shared" si="108"/>
        <v>#NUM!</v>
      </c>
    </row>
    <row r="2259" spans="58:58" x14ac:dyDescent="0.2">
      <c r="BF2259" s="86" t="e">
        <f t="shared" si="108"/>
        <v>#NUM!</v>
      </c>
    </row>
    <row r="2260" spans="58:58" x14ac:dyDescent="0.2">
      <c r="BF2260" s="86" t="e">
        <f t="shared" si="108"/>
        <v>#NUM!</v>
      </c>
    </row>
    <row r="2261" spans="58:58" x14ac:dyDescent="0.2">
      <c r="BF2261" s="86" t="e">
        <f t="shared" si="108"/>
        <v>#NUM!</v>
      </c>
    </row>
    <row r="2262" spans="58:58" x14ac:dyDescent="0.2">
      <c r="BF2262" s="86" t="e">
        <f t="shared" si="108"/>
        <v>#NUM!</v>
      </c>
    </row>
    <row r="2263" spans="58:58" x14ac:dyDescent="0.2">
      <c r="BF2263" s="86" t="e">
        <f t="shared" si="108"/>
        <v>#NUM!</v>
      </c>
    </row>
    <row r="2264" spans="58:58" x14ac:dyDescent="0.2">
      <c r="BF2264" s="86" t="e">
        <f t="shared" si="108"/>
        <v>#NUM!</v>
      </c>
    </row>
    <row r="2265" spans="58:58" x14ac:dyDescent="0.2">
      <c r="BF2265" s="86" t="e">
        <f t="shared" si="108"/>
        <v>#NUM!</v>
      </c>
    </row>
    <row r="2266" spans="58:58" x14ac:dyDescent="0.2">
      <c r="BF2266" s="86" t="e">
        <f t="shared" si="108"/>
        <v>#NUM!</v>
      </c>
    </row>
    <row r="2267" spans="58:58" x14ac:dyDescent="0.2">
      <c r="BF2267" s="86" t="e">
        <f t="shared" si="108"/>
        <v>#NUM!</v>
      </c>
    </row>
    <row r="2268" spans="58:58" x14ac:dyDescent="0.2">
      <c r="BF2268" s="86" t="e">
        <f t="shared" si="108"/>
        <v>#NUM!</v>
      </c>
    </row>
    <row r="2269" spans="58:58" x14ac:dyDescent="0.2">
      <c r="BF2269" s="86" t="e">
        <f t="shared" si="108"/>
        <v>#NUM!</v>
      </c>
    </row>
    <row r="2270" spans="58:58" x14ac:dyDescent="0.2">
      <c r="BF2270" s="86" t="e">
        <f t="shared" si="108"/>
        <v>#NUM!</v>
      </c>
    </row>
    <row r="2271" spans="58:58" x14ac:dyDescent="0.2">
      <c r="BF2271" s="86" t="e">
        <f t="shared" si="108"/>
        <v>#NUM!</v>
      </c>
    </row>
    <row r="2272" spans="58:58" x14ac:dyDescent="0.2">
      <c r="BF2272" s="86" t="e">
        <f t="shared" si="108"/>
        <v>#NUM!</v>
      </c>
    </row>
    <row r="2273" spans="58:58" x14ac:dyDescent="0.2">
      <c r="BF2273" s="86" t="e">
        <f t="shared" si="108"/>
        <v>#NUM!</v>
      </c>
    </row>
    <row r="2274" spans="58:58" x14ac:dyDescent="0.2">
      <c r="BF2274" s="86" t="e">
        <f t="shared" si="108"/>
        <v>#NUM!</v>
      </c>
    </row>
    <row r="2275" spans="58:58" x14ac:dyDescent="0.2">
      <c r="BF2275" s="86" t="e">
        <f t="shared" si="108"/>
        <v>#NUM!</v>
      </c>
    </row>
    <row r="2276" spans="58:58" x14ac:dyDescent="0.2">
      <c r="BF2276" s="86" t="e">
        <f t="shared" si="108"/>
        <v>#NUM!</v>
      </c>
    </row>
    <row r="2277" spans="58:58" x14ac:dyDescent="0.2">
      <c r="BF2277" s="86" t="e">
        <f t="shared" si="108"/>
        <v>#NUM!</v>
      </c>
    </row>
    <row r="2278" spans="58:58" x14ac:dyDescent="0.2">
      <c r="BF2278" s="86" t="e">
        <f t="shared" ref="BF2278:BF2341" si="109">MEDIAN(BH2278:BU2278)</f>
        <v>#NUM!</v>
      </c>
    </row>
    <row r="2279" spans="58:58" x14ac:dyDescent="0.2">
      <c r="BF2279" s="86" t="e">
        <f t="shared" si="109"/>
        <v>#NUM!</v>
      </c>
    </row>
    <row r="2280" spans="58:58" x14ac:dyDescent="0.2">
      <c r="BF2280" s="86" t="e">
        <f t="shared" si="109"/>
        <v>#NUM!</v>
      </c>
    </row>
    <row r="2281" spans="58:58" x14ac:dyDescent="0.2">
      <c r="BF2281" s="86" t="e">
        <f t="shared" si="109"/>
        <v>#NUM!</v>
      </c>
    </row>
    <row r="2282" spans="58:58" x14ac:dyDescent="0.2">
      <c r="BF2282" s="86" t="e">
        <f t="shared" si="109"/>
        <v>#NUM!</v>
      </c>
    </row>
    <row r="2283" spans="58:58" x14ac:dyDescent="0.2">
      <c r="BF2283" s="86" t="e">
        <f t="shared" si="109"/>
        <v>#NUM!</v>
      </c>
    </row>
    <row r="2284" spans="58:58" x14ac:dyDescent="0.2">
      <c r="BF2284" s="86" t="e">
        <f t="shared" si="109"/>
        <v>#NUM!</v>
      </c>
    </row>
    <row r="2285" spans="58:58" x14ac:dyDescent="0.2">
      <c r="BF2285" s="86" t="e">
        <f t="shared" si="109"/>
        <v>#NUM!</v>
      </c>
    </row>
    <row r="2286" spans="58:58" x14ac:dyDescent="0.2">
      <c r="BF2286" s="86" t="e">
        <f t="shared" si="109"/>
        <v>#NUM!</v>
      </c>
    </row>
    <row r="2287" spans="58:58" x14ac:dyDescent="0.2">
      <c r="BF2287" s="86" t="e">
        <f t="shared" si="109"/>
        <v>#NUM!</v>
      </c>
    </row>
    <row r="2288" spans="58:58" x14ac:dyDescent="0.2">
      <c r="BF2288" s="86" t="e">
        <f t="shared" si="109"/>
        <v>#NUM!</v>
      </c>
    </row>
    <row r="2289" spans="58:58" x14ac:dyDescent="0.2">
      <c r="BF2289" s="86" t="e">
        <f t="shared" si="109"/>
        <v>#NUM!</v>
      </c>
    </row>
    <row r="2290" spans="58:58" x14ac:dyDescent="0.2">
      <c r="BF2290" s="86" t="e">
        <f t="shared" si="109"/>
        <v>#NUM!</v>
      </c>
    </row>
    <row r="2291" spans="58:58" x14ac:dyDescent="0.2">
      <c r="BF2291" s="86" t="e">
        <f t="shared" si="109"/>
        <v>#NUM!</v>
      </c>
    </row>
    <row r="2292" spans="58:58" x14ac:dyDescent="0.2">
      <c r="BF2292" s="86" t="e">
        <f t="shared" si="109"/>
        <v>#NUM!</v>
      </c>
    </row>
    <row r="2293" spans="58:58" x14ac:dyDescent="0.2">
      <c r="BF2293" s="86" t="e">
        <f t="shared" si="109"/>
        <v>#NUM!</v>
      </c>
    </row>
    <row r="2294" spans="58:58" x14ac:dyDescent="0.2">
      <c r="BF2294" s="86" t="e">
        <f t="shared" si="109"/>
        <v>#NUM!</v>
      </c>
    </row>
    <row r="2295" spans="58:58" x14ac:dyDescent="0.2">
      <c r="BF2295" s="86" t="e">
        <f t="shared" si="109"/>
        <v>#NUM!</v>
      </c>
    </row>
    <row r="2296" spans="58:58" x14ac:dyDescent="0.2">
      <c r="BF2296" s="86" t="e">
        <f t="shared" si="109"/>
        <v>#NUM!</v>
      </c>
    </row>
    <row r="2297" spans="58:58" x14ac:dyDescent="0.2">
      <c r="BF2297" s="86" t="e">
        <f t="shared" si="109"/>
        <v>#NUM!</v>
      </c>
    </row>
    <row r="2298" spans="58:58" x14ac:dyDescent="0.2">
      <c r="BF2298" s="86" t="e">
        <f t="shared" si="109"/>
        <v>#NUM!</v>
      </c>
    </row>
    <row r="2299" spans="58:58" x14ac:dyDescent="0.2">
      <c r="BF2299" s="86" t="e">
        <f t="shared" si="109"/>
        <v>#NUM!</v>
      </c>
    </row>
    <row r="2300" spans="58:58" x14ac:dyDescent="0.2">
      <c r="BF2300" s="86" t="e">
        <f t="shared" si="109"/>
        <v>#NUM!</v>
      </c>
    </row>
    <row r="2301" spans="58:58" x14ac:dyDescent="0.2">
      <c r="BF2301" s="86" t="e">
        <f t="shared" si="109"/>
        <v>#NUM!</v>
      </c>
    </row>
    <row r="2302" spans="58:58" x14ac:dyDescent="0.2">
      <c r="BF2302" s="86" t="e">
        <f t="shared" si="109"/>
        <v>#NUM!</v>
      </c>
    </row>
    <row r="2303" spans="58:58" x14ac:dyDescent="0.2">
      <c r="BF2303" s="86" t="e">
        <f t="shared" si="109"/>
        <v>#NUM!</v>
      </c>
    </row>
    <row r="2304" spans="58:58" x14ac:dyDescent="0.2">
      <c r="BF2304" s="86" t="e">
        <f t="shared" si="109"/>
        <v>#NUM!</v>
      </c>
    </row>
    <row r="2305" spans="58:58" x14ac:dyDescent="0.2">
      <c r="BF2305" s="86" t="e">
        <f t="shared" si="109"/>
        <v>#NUM!</v>
      </c>
    </row>
    <row r="2306" spans="58:58" x14ac:dyDescent="0.2">
      <c r="BF2306" s="86" t="e">
        <f t="shared" si="109"/>
        <v>#NUM!</v>
      </c>
    </row>
    <row r="2307" spans="58:58" x14ac:dyDescent="0.2">
      <c r="BF2307" s="86" t="e">
        <f t="shared" si="109"/>
        <v>#NUM!</v>
      </c>
    </row>
    <row r="2308" spans="58:58" x14ac:dyDescent="0.2">
      <c r="BF2308" s="86" t="e">
        <f t="shared" si="109"/>
        <v>#NUM!</v>
      </c>
    </row>
    <row r="2309" spans="58:58" x14ac:dyDescent="0.2">
      <c r="BF2309" s="86" t="e">
        <f t="shared" si="109"/>
        <v>#NUM!</v>
      </c>
    </row>
    <row r="2310" spans="58:58" x14ac:dyDescent="0.2">
      <c r="BF2310" s="86" t="e">
        <f t="shared" si="109"/>
        <v>#NUM!</v>
      </c>
    </row>
    <row r="2311" spans="58:58" x14ac:dyDescent="0.2">
      <c r="BF2311" s="86" t="e">
        <f t="shared" si="109"/>
        <v>#NUM!</v>
      </c>
    </row>
    <row r="2312" spans="58:58" x14ac:dyDescent="0.2">
      <c r="BF2312" s="86" t="e">
        <f t="shared" si="109"/>
        <v>#NUM!</v>
      </c>
    </row>
    <row r="2313" spans="58:58" x14ac:dyDescent="0.2">
      <c r="BF2313" s="86" t="e">
        <f t="shared" si="109"/>
        <v>#NUM!</v>
      </c>
    </row>
    <row r="2314" spans="58:58" x14ac:dyDescent="0.2">
      <c r="BF2314" s="86" t="e">
        <f t="shared" si="109"/>
        <v>#NUM!</v>
      </c>
    </row>
    <row r="2315" spans="58:58" x14ac:dyDescent="0.2">
      <c r="BF2315" s="86" t="e">
        <f t="shared" si="109"/>
        <v>#NUM!</v>
      </c>
    </row>
    <row r="2316" spans="58:58" x14ac:dyDescent="0.2">
      <c r="BF2316" s="86" t="e">
        <f t="shared" si="109"/>
        <v>#NUM!</v>
      </c>
    </row>
    <row r="2317" spans="58:58" x14ac:dyDescent="0.2">
      <c r="BF2317" s="86" t="e">
        <f t="shared" si="109"/>
        <v>#NUM!</v>
      </c>
    </row>
    <row r="2318" spans="58:58" x14ac:dyDescent="0.2">
      <c r="BF2318" s="86" t="e">
        <f t="shared" si="109"/>
        <v>#NUM!</v>
      </c>
    </row>
    <row r="2319" spans="58:58" x14ac:dyDescent="0.2">
      <c r="BF2319" s="86" t="e">
        <f t="shared" si="109"/>
        <v>#NUM!</v>
      </c>
    </row>
    <row r="2320" spans="58:58" x14ac:dyDescent="0.2">
      <c r="BF2320" s="86" t="e">
        <f t="shared" si="109"/>
        <v>#NUM!</v>
      </c>
    </row>
    <row r="2321" spans="58:58" x14ac:dyDescent="0.2">
      <c r="BF2321" s="86" t="e">
        <f t="shared" si="109"/>
        <v>#NUM!</v>
      </c>
    </row>
    <row r="2322" spans="58:58" x14ac:dyDescent="0.2">
      <c r="BF2322" s="86" t="e">
        <f t="shared" si="109"/>
        <v>#NUM!</v>
      </c>
    </row>
    <row r="2323" spans="58:58" x14ac:dyDescent="0.2">
      <c r="BF2323" s="86" t="e">
        <f t="shared" si="109"/>
        <v>#NUM!</v>
      </c>
    </row>
    <row r="2324" spans="58:58" x14ac:dyDescent="0.2">
      <c r="BF2324" s="86" t="e">
        <f t="shared" si="109"/>
        <v>#NUM!</v>
      </c>
    </row>
    <row r="2325" spans="58:58" x14ac:dyDescent="0.2">
      <c r="BF2325" s="86" t="e">
        <f t="shared" si="109"/>
        <v>#NUM!</v>
      </c>
    </row>
    <row r="2326" spans="58:58" x14ac:dyDescent="0.2">
      <c r="BF2326" s="86" t="e">
        <f t="shared" si="109"/>
        <v>#NUM!</v>
      </c>
    </row>
    <row r="2327" spans="58:58" x14ac:dyDescent="0.2">
      <c r="BF2327" s="86" t="e">
        <f t="shared" si="109"/>
        <v>#NUM!</v>
      </c>
    </row>
    <row r="2328" spans="58:58" x14ac:dyDescent="0.2">
      <c r="BF2328" s="86" t="e">
        <f t="shared" si="109"/>
        <v>#NUM!</v>
      </c>
    </row>
    <row r="2329" spans="58:58" x14ac:dyDescent="0.2">
      <c r="BF2329" s="86" t="e">
        <f t="shared" si="109"/>
        <v>#NUM!</v>
      </c>
    </row>
    <row r="2330" spans="58:58" x14ac:dyDescent="0.2">
      <c r="BF2330" s="86" t="e">
        <f t="shared" si="109"/>
        <v>#NUM!</v>
      </c>
    </row>
    <row r="2331" spans="58:58" x14ac:dyDescent="0.2">
      <c r="BF2331" s="86" t="e">
        <f t="shared" si="109"/>
        <v>#NUM!</v>
      </c>
    </row>
    <row r="2332" spans="58:58" x14ac:dyDescent="0.2">
      <c r="BF2332" s="86" t="e">
        <f t="shared" si="109"/>
        <v>#NUM!</v>
      </c>
    </row>
    <row r="2333" spans="58:58" x14ac:dyDescent="0.2">
      <c r="BF2333" s="86" t="e">
        <f t="shared" si="109"/>
        <v>#NUM!</v>
      </c>
    </row>
    <row r="2334" spans="58:58" x14ac:dyDescent="0.2">
      <c r="BF2334" s="86" t="e">
        <f t="shared" si="109"/>
        <v>#NUM!</v>
      </c>
    </row>
    <row r="2335" spans="58:58" x14ac:dyDescent="0.2">
      <c r="BF2335" s="86" t="e">
        <f t="shared" si="109"/>
        <v>#NUM!</v>
      </c>
    </row>
    <row r="2336" spans="58:58" x14ac:dyDescent="0.2">
      <c r="BF2336" s="86" t="e">
        <f t="shared" si="109"/>
        <v>#NUM!</v>
      </c>
    </row>
    <row r="2337" spans="58:58" x14ac:dyDescent="0.2">
      <c r="BF2337" s="86" t="e">
        <f t="shared" si="109"/>
        <v>#NUM!</v>
      </c>
    </row>
    <row r="2338" spans="58:58" x14ac:dyDescent="0.2">
      <c r="BF2338" s="86" t="e">
        <f t="shared" si="109"/>
        <v>#NUM!</v>
      </c>
    </row>
    <row r="2339" spans="58:58" x14ac:dyDescent="0.2">
      <c r="BF2339" s="86" t="e">
        <f t="shared" si="109"/>
        <v>#NUM!</v>
      </c>
    </row>
    <row r="2340" spans="58:58" x14ac:dyDescent="0.2">
      <c r="BF2340" s="86" t="e">
        <f t="shared" si="109"/>
        <v>#NUM!</v>
      </c>
    </row>
    <row r="2341" spans="58:58" x14ac:dyDescent="0.2">
      <c r="BF2341" s="86" t="e">
        <f t="shared" si="109"/>
        <v>#NUM!</v>
      </c>
    </row>
    <row r="2342" spans="58:58" x14ac:dyDescent="0.2">
      <c r="BF2342" s="86" t="e">
        <f t="shared" ref="BF2342:BF2405" si="110">MEDIAN(BH2342:BU2342)</f>
        <v>#NUM!</v>
      </c>
    </row>
    <row r="2343" spans="58:58" x14ac:dyDescent="0.2">
      <c r="BF2343" s="86" t="e">
        <f t="shared" si="110"/>
        <v>#NUM!</v>
      </c>
    </row>
    <row r="2344" spans="58:58" x14ac:dyDescent="0.2">
      <c r="BF2344" s="86" t="e">
        <f t="shared" si="110"/>
        <v>#NUM!</v>
      </c>
    </row>
    <row r="2345" spans="58:58" x14ac:dyDescent="0.2">
      <c r="BF2345" s="86" t="e">
        <f t="shared" si="110"/>
        <v>#NUM!</v>
      </c>
    </row>
    <row r="2346" spans="58:58" x14ac:dyDescent="0.2">
      <c r="BF2346" s="86" t="e">
        <f t="shared" si="110"/>
        <v>#NUM!</v>
      </c>
    </row>
    <row r="2347" spans="58:58" x14ac:dyDescent="0.2">
      <c r="BF2347" s="86" t="e">
        <f t="shared" si="110"/>
        <v>#NUM!</v>
      </c>
    </row>
    <row r="2348" spans="58:58" x14ac:dyDescent="0.2">
      <c r="BF2348" s="86" t="e">
        <f t="shared" si="110"/>
        <v>#NUM!</v>
      </c>
    </row>
    <row r="2349" spans="58:58" x14ac:dyDescent="0.2">
      <c r="BF2349" s="86" t="e">
        <f t="shared" si="110"/>
        <v>#NUM!</v>
      </c>
    </row>
    <row r="2350" spans="58:58" x14ac:dyDescent="0.2">
      <c r="BF2350" s="86" t="e">
        <f t="shared" si="110"/>
        <v>#NUM!</v>
      </c>
    </row>
    <row r="2351" spans="58:58" x14ac:dyDescent="0.2">
      <c r="BF2351" s="86" t="e">
        <f t="shared" si="110"/>
        <v>#NUM!</v>
      </c>
    </row>
    <row r="2352" spans="58:58" x14ac:dyDescent="0.2">
      <c r="BF2352" s="86" t="e">
        <f t="shared" si="110"/>
        <v>#NUM!</v>
      </c>
    </row>
    <row r="2353" spans="58:58" x14ac:dyDescent="0.2">
      <c r="BF2353" s="86" t="e">
        <f t="shared" si="110"/>
        <v>#NUM!</v>
      </c>
    </row>
    <row r="2354" spans="58:58" x14ac:dyDescent="0.2">
      <c r="BF2354" s="86" t="e">
        <f t="shared" si="110"/>
        <v>#NUM!</v>
      </c>
    </row>
    <row r="2355" spans="58:58" x14ac:dyDescent="0.2">
      <c r="BF2355" s="86" t="e">
        <f t="shared" si="110"/>
        <v>#NUM!</v>
      </c>
    </row>
    <row r="2356" spans="58:58" x14ac:dyDescent="0.2">
      <c r="BF2356" s="86" t="e">
        <f t="shared" si="110"/>
        <v>#NUM!</v>
      </c>
    </row>
    <row r="2357" spans="58:58" x14ac:dyDescent="0.2">
      <c r="BF2357" s="86" t="e">
        <f t="shared" si="110"/>
        <v>#NUM!</v>
      </c>
    </row>
    <row r="2358" spans="58:58" x14ac:dyDescent="0.2">
      <c r="BF2358" s="86" t="e">
        <f t="shared" si="110"/>
        <v>#NUM!</v>
      </c>
    </row>
    <row r="2359" spans="58:58" x14ac:dyDescent="0.2">
      <c r="BF2359" s="86" t="e">
        <f t="shared" si="110"/>
        <v>#NUM!</v>
      </c>
    </row>
    <row r="2360" spans="58:58" x14ac:dyDescent="0.2">
      <c r="BF2360" s="86" t="e">
        <f t="shared" si="110"/>
        <v>#NUM!</v>
      </c>
    </row>
    <row r="2361" spans="58:58" x14ac:dyDescent="0.2">
      <c r="BF2361" s="86" t="e">
        <f t="shared" si="110"/>
        <v>#NUM!</v>
      </c>
    </row>
    <row r="2362" spans="58:58" x14ac:dyDescent="0.2">
      <c r="BF2362" s="86" t="e">
        <f t="shared" si="110"/>
        <v>#NUM!</v>
      </c>
    </row>
    <row r="2363" spans="58:58" x14ac:dyDescent="0.2">
      <c r="BF2363" s="86" t="e">
        <f t="shared" si="110"/>
        <v>#NUM!</v>
      </c>
    </row>
    <row r="2364" spans="58:58" x14ac:dyDescent="0.2">
      <c r="BF2364" s="86" t="e">
        <f t="shared" si="110"/>
        <v>#NUM!</v>
      </c>
    </row>
    <row r="2365" spans="58:58" x14ac:dyDescent="0.2">
      <c r="BF2365" s="86" t="e">
        <f t="shared" si="110"/>
        <v>#NUM!</v>
      </c>
    </row>
    <row r="2366" spans="58:58" x14ac:dyDescent="0.2">
      <c r="BF2366" s="86" t="e">
        <f t="shared" si="110"/>
        <v>#NUM!</v>
      </c>
    </row>
    <row r="2367" spans="58:58" x14ac:dyDescent="0.2">
      <c r="BF2367" s="86" t="e">
        <f t="shared" si="110"/>
        <v>#NUM!</v>
      </c>
    </row>
    <row r="2368" spans="58:58" x14ac:dyDescent="0.2">
      <c r="BF2368" s="86" t="e">
        <f t="shared" si="110"/>
        <v>#NUM!</v>
      </c>
    </row>
    <row r="2369" spans="58:58" x14ac:dyDescent="0.2">
      <c r="BF2369" s="86" t="e">
        <f t="shared" si="110"/>
        <v>#NUM!</v>
      </c>
    </row>
    <row r="2370" spans="58:58" x14ac:dyDescent="0.2">
      <c r="BF2370" s="86" t="e">
        <f t="shared" si="110"/>
        <v>#NUM!</v>
      </c>
    </row>
    <row r="2371" spans="58:58" x14ac:dyDescent="0.2">
      <c r="BF2371" s="86" t="e">
        <f t="shared" si="110"/>
        <v>#NUM!</v>
      </c>
    </row>
    <row r="2372" spans="58:58" x14ac:dyDescent="0.2">
      <c r="BF2372" s="86" t="e">
        <f t="shared" si="110"/>
        <v>#NUM!</v>
      </c>
    </row>
    <row r="2373" spans="58:58" x14ac:dyDescent="0.2">
      <c r="BF2373" s="86" t="e">
        <f t="shared" si="110"/>
        <v>#NUM!</v>
      </c>
    </row>
    <row r="2374" spans="58:58" x14ac:dyDescent="0.2">
      <c r="BF2374" s="86" t="e">
        <f t="shared" si="110"/>
        <v>#NUM!</v>
      </c>
    </row>
    <row r="2375" spans="58:58" x14ac:dyDescent="0.2">
      <c r="BF2375" s="86" t="e">
        <f t="shared" si="110"/>
        <v>#NUM!</v>
      </c>
    </row>
    <row r="2376" spans="58:58" x14ac:dyDescent="0.2">
      <c r="BF2376" s="86" t="e">
        <f t="shared" si="110"/>
        <v>#NUM!</v>
      </c>
    </row>
    <row r="2377" spans="58:58" x14ac:dyDescent="0.2">
      <c r="BF2377" s="86" t="e">
        <f t="shared" si="110"/>
        <v>#NUM!</v>
      </c>
    </row>
    <row r="2378" spans="58:58" x14ac:dyDescent="0.2">
      <c r="BF2378" s="86" t="e">
        <f t="shared" si="110"/>
        <v>#NUM!</v>
      </c>
    </row>
    <row r="2379" spans="58:58" x14ac:dyDescent="0.2">
      <c r="BF2379" s="86" t="e">
        <f t="shared" si="110"/>
        <v>#NUM!</v>
      </c>
    </row>
    <row r="2380" spans="58:58" x14ac:dyDescent="0.2">
      <c r="BF2380" s="86" t="e">
        <f t="shared" si="110"/>
        <v>#NUM!</v>
      </c>
    </row>
    <row r="2381" spans="58:58" x14ac:dyDescent="0.2">
      <c r="BF2381" s="86" t="e">
        <f t="shared" si="110"/>
        <v>#NUM!</v>
      </c>
    </row>
    <row r="2382" spans="58:58" x14ac:dyDescent="0.2">
      <c r="BF2382" s="86" t="e">
        <f t="shared" si="110"/>
        <v>#NUM!</v>
      </c>
    </row>
    <row r="2383" spans="58:58" x14ac:dyDescent="0.2">
      <c r="BF2383" s="86" t="e">
        <f t="shared" si="110"/>
        <v>#NUM!</v>
      </c>
    </row>
    <row r="2384" spans="58:58" x14ac:dyDescent="0.2">
      <c r="BF2384" s="86" t="e">
        <f t="shared" si="110"/>
        <v>#NUM!</v>
      </c>
    </row>
    <row r="2385" spans="58:58" x14ac:dyDescent="0.2">
      <c r="BF2385" s="86" t="e">
        <f t="shared" si="110"/>
        <v>#NUM!</v>
      </c>
    </row>
    <row r="2386" spans="58:58" x14ac:dyDescent="0.2">
      <c r="BF2386" s="86" t="e">
        <f t="shared" si="110"/>
        <v>#NUM!</v>
      </c>
    </row>
    <row r="2387" spans="58:58" x14ac:dyDescent="0.2">
      <c r="BF2387" s="86" t="e">
        <f t="shared" si="110"/>
        <v>#NUM!</v>
      </c>
    </row>
    <row r="2388" spans="58:58" x14ac:dyDescent="0.2">
      <c r="BF2388" s="86" t="e">
        <f t="shared" si="110"/>
        <v>#NUM!</v>
      </c>
    </row>
    <row r="2389" spans="58:58" x14ac:dyDescent="0.2">
      <c r="BF2389" s="86" t="e">
        <f t="shared" si="110"/>
        <v>#NUM!</v>
      </c>
    </row>
    <row r="2390" spans="58:58" x14ac:dyDescent="0.2">
      <c r="BF2390" s="86" t="e">
        <f t="shared" si="110"/>
        <v>#NUM!</v>
      </c>
    </row>
    <row r="2391" spans="58:58" x14ac:dyDescent="0.2">
      <c r="BF2391" s="86" t="e">
        <f t="shared" si="110"/>
        <v>#NUM!</v>
      </c>
    </row>
    <row r="2392" spans="58:58" x14ac:dyDescent="0.2">
      <c r="BF2392" s="86" t="e">
        <f t="shared" si="110"/>
        <v>#NUM!</v>
      </c>
    </row>
    <row r="2393" spans="58:58" x14ac:dyDescent="0.2">
      <c r="BF2393" s="86" t="e">
        <f t="shared" si="110"/>
        <v>#NUM!</v>
      </c>
    </row>
    <row r="2394" spans="58:58" x14ac:dyDescent="0.2">
      <c r="BF2394" s="86" t="e">
        <f t="shared" si="110"/>
        <v>#NUM!</v>
      </c>
    </row>
    <row r="2395" spans="58:58" x14ac:dyDescent="0.2">
      <c r="BF2395" s="86" t="e">
        <f t="shared" si="110"/>
        <v>#NUM!</v>
      </c>
    </row>
    <row r="2396" spans="58:58" x14ac:dyDescent="0.2">
      <c r="BF2396" s="86" t="e">
        <f t="shared" si="110"/>
        <v>#NUM!</v>
      </c>
    </row>
    <row r="2397" spans="58:58" x14ac:dyDescent="0.2">
      <c r="BF2397" s="86" t="e">
        <f t="shared" si="110"/>
        <v>#NUM!</v>
      </c>
    </row>
    <row r="2398" spans="58:58" x14ac:dyDescent="0.2">
      <c r="BF2398" s="86" t="e">
        <f t="shared" si="110"/>
        <v>#NUM!</v>
      </c>
    </row>
    <row r="2399" spans="58:58" x14ac:dyDescent="0.2">
      <c r="BF2399" s="86" t="e">
        <f t="shared" si="110"/>
        <v>#NUM!</v>
      </c>
    </row>
    <row r="2400" spans="58:58" x14ac:dyDescent="0.2">
      <c r="BF2400" s="86" t="e">
        <f t="shared" si="110"/>
        <v>#NUM!</v>
      </c>
    </row>
    <row r="2401" spans="58:58" x14ac:dyDescent="0.2">
      <c r="BF2401" s="86" t="e">
        <f t="shared" si="110"/>
        <v>#NUM!</v>
      </c>
    </row>
    <row r="2402" spans="58:58" x14ac:dyDescent="0.2">
      <c r="BF2402" s="86" t="e">
        <f t="shared" si="110"/>
        <v>#NUM!</v>
      </c>
    </row>
    <row r="2403" spans="58:58" x14ac:dyDescent="0.2">
      <c r="BF2403" s="86" t="e">
        <f t="shared" si="110"/>
        <v>#NUM!</v>
      </c>
    </row>
    <row r="2404" spans="58:58" x14ac:dyDescent="0.2">
      <c r="BF2404" s="86" t="e">
        <f t="shared" si="110"/>
        <v>#NUM!</v>
      </c>
    </row>
    <row r="2405" spans="58:58" x14ac:dyDescent="0.2">
      <c r="BF2405" s="86" t="e">
        <f t="shared" si="110"/>
        <v>#NUM!</v>
      </c>
    </row>
    <row r="2406" spans="58:58" x14ac:dyDescent="0.2">
      <c r="BF2406" s="86" t="e">
        <f t="shared" ref="BF2406:BF2469" si="111">MEDIAN(BH2406:BU2406)</f>
        <v>#NUM!</v>
      </c>
    </row>
    <row r="2407" spans="58:58" x14ac:dyDescent="0.2">
      <c r="BF2407" s="86" t="e">
        <f t="shared" si="111"/>
        <v>#NUM!</v>
      </c>
    </row>
    <row r="2408" spans="58:58" x14ac:dyDescent="0.2">
      <c r="BF2408" s="86" t="e">
        <f t="shared" si="111"/>
        <v>#NUM!</v>
      </c>
    </row>
    <row r="2409" spans="58:58" x14ac:dyDescent="0.2">
      <c r="BF2409" s="86" t="e">
        <f t="shared" si="111"/>
        <v>#NUM!</v>
      </c>
    </row>
    <row r="2410" spans="58:58" x14ac:dyDescent="0.2">
      <c r="BF2410" s="86" t="e">
        <f t="shared" si="111"/>
        <v>#NUM!</v>
      </c>
    </row>
    <row r="2411" spans="58:58" x14ac:dyDescent="0.2">
      <c r="BF2411" s="86" t="e">
        <f t="shared" si="111"/>
        <v>#NUM!</v>
      </c>
    </row>
    <row r="2412" spans="58:58" x14ac:dyDescent="0.2">
      <c r="BF2412" s="86" t="e">
        <f t="shared" si="111"/>
        <v>#NUM!</v>
      </c>
    </row>
    <row r="2413" spans="58:58" x14ac:dyDescent="0.2">
      <c r="BF2413" s="86" t="e">
        <f t="shared" si="111"/>
        <v>#NUM!</v>
      </c>
    </row>
    <row r="2414" spans="58:58" x14ac:dyDescent="0.2">
      <c r="BF2414" s="86" t="e">
        <f t="shared" si="111"/>
        <v>#NUM!</v>
      </c>
    </row>
    <row r="2415" spans="58:58" x14ac:dyDescent="0.2">
      <c r="BF2415" s="86" t="e">
        <f t="shared" si="111"/>
        <v>#NUM!</v>
      </c>
    </row>
    <row r="2416" spans="58:58" x14ac:dyDescent="0.2">
      <c r="BF2416" s="86" t="e">
        <f t="shared" si="111"/>
        <v>#NUM!</v>
      </c>
    </row>
    <row r="2417" spans="58:58" x14ac:dyDescent="0.2">
      <c r="BF2417" s="86" t="e">
        <f t="shared" si="111"/>
        <v>#NUM!</v>
      </c>
    </row>
    <row r="2418" spans="58:58" x14ac:dyDescent="0.2">
      <c r="BF2418" s="86" t="e">
        <f t="shared" si="111"/>
        <v>#NUM!</v>
      </c>
    </row>
    <row r="2419" spans="58:58" x14ac:dyDescent="0.2">
      <c r="BF2419" s="86" t="e">
        <f t="shared" si="111"/>
        <v>#NUM!</v>
      </c>
    </row>
    <row r="2420" spans="58:58" x14ac:dyDescent="0.2">
      <c r="BF2420" s="86" t="e">
        <f t="shared" si="111"/>
        <v>#NUM!</v>
      </c>
    </row>
    <row r="2421" spans="58:58" x14ac:dyDescent="0.2">
      <c r="BF2421" s="86" t="e">
        <f t="shared" si="111"/>
        <v>#NUM!</v>
      </c>
    </row>
    <row r="2422" spans="58:58" x14ac:dyDescent="0.2">
      <c r="BF2422" s="86" t="e">
        <f t="shared" si="111"/>
        <v>#NUM!</v>
      </c>
    </row>
    <row r="2423" spans="58:58" x14ac:dyDescent="0.2">
      <c r="BF2423" s="86" t="e">
        <f t="shared" si="111"/>
        <v>#NUM!</v>
      </c>
    </row>
    <row r="2424" spans="58:58" x14ac:dyDescent="0.2">
      <c r="BF2424" s="86" t="e">
        <f t="shared" si="111"/>
        <v>#NUM!</v>
      </c>
    </row>
    <row r="2425" spans="58:58" x14ac:dyDescent="0.2">
      <c r="BF2425" s="86" t="e">
        <f t="shared" si="111"/>
        <v>#NUM!</v>
      </c>
    </row>
    <row r="2426" spans="58:58" x14ac:dyDescent="0.2">
      <c r="BF2426" s="86" t="e">
        <f t="shared" si="111"/>
        <v>#NUM!</v>
      </c>
    </row>
    <row r="2427" spans="58:58" x14ac:dyDescent="0.2">
      <c r="BF2427" s="86" t="e">
        <f t="shared" si="111"/>
        <v>#NUM!</v>
      </c>
    </row>
    <row r="2428" spans="58:58" x14ac:dyDescent="0.2">
      <c r="BF2428" s="86" t="e">
        <f t="shared" si="111"/>
        <v>#NUM!</v>
      </c>
    </row>
    <row r="2429" spans="58:58" x14ac:dyDescent="0.2">
      <c r="BF2429" s="86" t="e">
        <f t="shared" si="111"/>
        <v>#NUM!</v>
      </c>
    </row>
    <row r="2430" spans="58:58" x14ac:dyDescent="0.2">
      <c r="BF2430" s="86" t="e">
        <f t="shared" si="111"/>
        <v>#NUM!</v>
      </c>
    </row>
    <row r="2431" spans="58:58" x14ac:dyDescent="0.2">
      <c r="BF2431" s="86" t="e">
        <f t="shared" si="111"/>
        <v>#NUM!</v>
      </c>
    </row>
    <row r="2432" spans="58:58" x14ac:dyDescent="0.2">
      <c r="BF2432" s="86" t="e">
        <f t="shared" si="111"/>
        <v>#NUM!</v>
      </c>
    </row>
    <row r="2433" spans="58:58" x14ac:dyDescent="0.2">
      <c r="BF2433" s="86" t="e">
        <f t="shared" si="111"/>
        <v>#NUM!</v>
      </c>
    </row>
    <row r="2434" spans="58:58" x14ac:dyDescent="0.2">
      <c r="BF2434" s="86" t="e">
        <f t="shared" si="111"/>
        <v>#NUM!</v>
      </c>
    </row>
    <row r="2435" spans="58:58" x14ac:dyDescent="0.2">
      <c r="BF2435" s="86" t="e">
        <f t="shared" si="111"/>
        <v>#NUM!</v>
      </c>
    </row>
    <row r="2436" spans="58:58" x14ac:dyDescent="0.2">
      <c r="BF2436" s="86" t="e">
        <f t="shared" si="111"/>
        <v>#NUM!</v>
      </c>
    </row>
    <row r="2437" spans="58:58" x14ac:dyDescent="0.2">
      <c r="BF2437" s="86" t="e">
        <f t="shared" si="111"/>
        <v>#NUM!</v>
      </c>
    </row>
    <row r="2438" spans="58:58" x14ac:dyDescent="0.2">
      <c r="BF2438" s="86" t="e">
        <f t="shared" si="111"/>
        <v>#NUM!</v>
      </c>
    </row>
    <row r="2439" spans="58:58" x14ac:dyDescent="0.2">
      <c r="BF2439" s="86" t="e">
        <f t="shared" si="111"/>
        <v>#NUM!</v>
      </c>
    </row>
    <row r="2440" spans="58:58" x14ac:dyDescent="0.2">
      <c r="BF2440" s="86" t="e">
        <f t="shared" si="111"/>
        <v>#NUM!</v>
      </c>
    </row>
    <row r="2441" spans="58:58" x14ac:dyDescent="0.2">
      <c r="BF2441" s="86" t="e">
        <f t="shared" si="111"/>
        <v>#NUM!</v>
      </c>
    </row>
    <row r="2442" spans="58:58" x14ac:dyDescent="0.2">
      <c r="BF2442" s="86" t="e">
        <f t="shared" si="111"/>
        <v>#NUM!</v>
      </c>
    </row>
    <row r="2443" spans="58:58" x14ac:dyDescent="0.2">
      <c r="BF2443" s="86" t="e">
        <f t="shared" si="111"/>
        <v>#NUM!</v>
      </c>
    </row>
    <row r="2444" spans="58:58" x14ac:dyDescent="0.2">
      <c r="BF2444" s="86" t="e">
        <f t="shared" si="111"/>
        <v>#NUM!</v>
      </c>
    </row>
    <row r="2445" spans="58:58" x14ac:dyDescent="0.2">
      <c r="BF2445" s="86" t="e">
        <f t="shared" si="111"/>
        <v>#NUM!</v>
      </c>
    </row>
    <row r="2446" spans="58:58" x14ac:dyDescent="0.2">
      <c r="BF2446" s="86" t="e">
        <f t="shared" si="111"/>
        <v>#NUM!</v>
      </c>
    </row>
    <row r="2447" spans="58:58" x14ac:dyDescent="0.2">
      <c r="BF2447" s="86" t="e">
        <f t="shared" si="111"/>
        <v>#NUM!</v>
      </c>
    </row>
    <row r="2448" spans="58:58" x14ac:dyDescent="0.2">
      <c r="BF2448" s="86" t="e">
        <f t="shared" si="111"/>
        <v>#NUM!</v>
      </c>
    </row>
    <row r="2449" spans="58:58" x14ac:dyDescent="0.2">
      <c r="BF2449" s="86" t="e">
        <f t="shared" si="111"/>
        <v>#NUM!</v>
      </c>
    </row>
    <row r="2450" spans="58:58" x14ac:dyDescent="0.2">
      <c r="BF2450" s="86" t="e">
        <f t="shared" si="111"/>
        <v>#NUM!</v>
      </c>
    </row>
    <row r="2451" spans="58:58" x14ac:dyDescent="0.2">
      <c r="BF2451" s="86" t="e">
        <f t="shared" si="111"/>
        <v>#NUM!</v>
      </c>
    </row>
    <row r="2452" spans="58:58" x14ac:dyDescent="0.2">
      <c r="BF2452" s="86" t="e">
        <f t="shared" si="111"/>
        <v>#NUM!</v>
      </c>
    </row>
    <row r="2453" spans="58:58" x14ac:dyDescent="0.2">
      <c r="BF2453" s="86" t="e">
        <f t="shared" si="111"/>
        <v>#NUM!</v>
      </c>
    </row>
    <row r="2454" spans="58:58" x14ac:dyDescent="0.2">
      <c r="BF2454" s="86" t="e">
        <f t="shared" si="111"/>
        <v>#NUM!</v>
      </c>
    </row>
    <row r="2455" spans="58:58" x14ac:dyDescent="0.2">
      <c r="BF2455" s="86" t="e">
        <f t="shared" si="111"/>
        <v>#NUM!</v>
      </c>
    </row>
    <row r="2456" spans="58:58" x14ac:dyDescent="0.2">
      <c r="BF2456" s="86" t="e">
        <f t="shared" si="111"/>
        <v>#NUM!</v>
      </c>
    </row>
    <row r="2457" spans="58:58" x14ac:dyDescent="0.2">
      <c r="BF2457" s="86" t="e">
        <f t="shared" si="111"/>
        <v>#NUM!</v>
      </c>
    </row>
    <row r="2458" spans="58:58" x14ac:dyDescent="0.2">
      <c r="BF2458" s="86" t="e">
        <f t="shared" si="111"/>
        <v>#NUM!</v>
      </c>
    </row>
    <row r="2459" spans="58:58" x14ac:dyDescent="0.2">
      <c r="BF2459" s="86" t="e">
        <f t="shared" si="111"/>
        <v>#NUM!</v>
      </c>
    </row>
    <row r="2460" spans="58:58" x14ac:dyDescent="0.2">
      <c r="BF2460" s="86" t="e">
        <f t="shared" si="111"/>
        <v>#NUM!</v>
      </c>
    </row>
    <row r="2461" spans="58:58" x14ac:dyDescent="0.2">
      <c r="BF2461" s="86" t="e">
        <f t="shared" si="111"/>
        <v>#NUM!</v>
      </c>
    </row>
    <row r="2462" spans="58:58" x14ac:dyDescent="0.2">
      <c r="BF2462" s="86" t="e">
        <f t="shared" si="111"/>
        <v>#NUM!</v>
      </c>
    </row>
    <row r="2463" spans="58:58" x14ac:dyDescent="0.2">
      <c r="BF2463" s="86" t="e">
        <f t="shared" si="111"/>
        <v>#NUM!</v>
      </c>
    </row>
    <row r="2464" spans="58:58" x14ac:dyDescent="0.2">
      <c r="BF2464" s="86" t="e">
        <f t="shared" si="111"/>
        <v>#NUM!</v>
      </c>
    </row>
    <row r="2465" spans="58:58" x14ac:dyDescent="0.2">
      <c r="BF2465" s="86" t="e">
        <f t="shared" si="111"/>
        <v>#NUM!</v>
      </c>
    </row>
    <row r="2466" spans="58:58" x14ac:dyDescent="0.2">
      <c r="BF2466" s="86" t="e">
        <f t="shared" si="111"/>
        <v>#NUM!</v>
      </c>
    </row>
    <row r="2467" spans="58:58" x14ac:dyDescent="0.2">
      <c r="BF2467" s="86" t="e">
        <f t="shared" si="111"/>
        <v>#NUM!</v>
      </c>
    </row>
    <row r="2468" spans="58:58" x14ac:dyDescent="0.2">
      <c r="BF2468" s="86" t="e">
        <f t="shared" si="111"/>
        <v>#NUM!</v>
      </c>
    </row>
    <row r="2469" spans="58:58" x14ac:dyDescent="0.2">
      <c r="BF2469" s="86" t="e">
        <f t="shared" si="111"/>
        <v>#NUM!</v>
      </c>
    </row>
    <row r="2470" spans="58:58" x14ac:dyDescent="0.2">
      <c r="BF2470" s="86" t="e">
        <f t="shared" ref="BF2470:BF2533" si="112">MEDIAN(BH2470:BU2470)</f>
        <v>#NUM!</v>
      </c>
    </row>
    <row r="2471" spans="58:58" x14ac:dyDescent="0.2">
      <c r="BF2471" s="86" t="e">
        <f t="shared" si="112"/>
        <v>#NUM!</v>
      </c>
    </row>
    <row r="2472" spans="58:58" x14ac:dyDescent="0.2">
      <c r="BF2472" s="86" t="e">
        <f t="shared" si="112"/>
        <v>#NUM!</v>
      </c>
    </row>
    <row r="2473" spans="58:58" x14ac:dyDescent="0.2">
      <c r="BF2473" s="86" t="e">
        <f t="shared" si="112"/>
        <v>#NUM!</v>
      </c>
    </row>
    <row r="2474" spans="58:58" x14ac:dyDescent="0.2">
      <c r="BF2474" s="86" t="e">
        <f t="shared" si="112"/>
        <v>#NUM!</v>
      </c>
    </row>
    <row r="2475" spans="58:58" x14ac:dyDescent="0.2">
      <c r="BF2475" s="86" t="e">
        <f t="shared" si="112"/>
        <v>#NUM!</v>
      </c>
    </row>
    <row r="2476" spans="58:58" x14ac:dyDescent="0.2">
      <c r="BF2476" s="86" t="e">
        <f t="shared" si="112"/>
        <v>#NUM!</v>
      </c>
    </row>
    <row r="2477" spans="58:58" x14ac:dyDescent="0.2">
      <c r="BF2477" s="86" t="e">
        <f t="shared" si="112"/>
        <v>#NUM!</v>
      </c>
    </row>
    <row r="2478" spans="58:58" x14ac:dyDescent="0.2">
      <c r="BF2478" s="86" t="e">
        <f t="shared" si="112"/>
        <v>#NUM!</v>
      </c>
    </row>
    <row r="2479" spans="58:58" x14ac:dyDescent="0.2">
      <c r="BF2479" s="86" t="e">
        <f t="shared" si="112"/>
        <v>#NUM!</v>
      </c>
    </row>
    <row r="2480" spans="58:58" x14ac:dyDescent="0.2">
      <c r="BF2480" s="86" t="e">
        <f t="shared" si="112"/>
        <v>#NUM!</v>
      </c>
    </row>
    <row r="2481" spans="58:58" x14ac:dyDescent="0.2">
      <c r="BF2481" s="86" t="e">
        <f t="shared" si="112"/>
        <v>#NUM!</v>
      </c>
    </row>
    <row r="2482" spans="58:58" x14ac:dyDescent="0.2">
      <c r="BF2482" s="86" t="e">
        <f t="shared" si="112"/>
        <v>#NUM!</v>
      </c>
    </row>
    <row r="2483" spans="58:58" x14ac:dyDescent="0.2">
      <c r="BF2483" s="86" t="e">
        <f t="shared" si="112"/>
        <v>#NUM!</v>
      </c>
    </row>
    <row r="2484" spans="58:58" x14ac:dyDescent="0.2">
      <c r="BF2484" s="86" t="e">
        <f t="shared" si="112"/>
        <v>#NUM!</v>
      </c>
    </row>
    <row r="2485" spans="58:58" x14ac:dyDescent="0.2">
      <c r="BF2485" s="86" t="e">
        <f t="shared" si="112"/>
        <v>#NUM!</v>
      </c>
    </row>
    <row r="2486" spans="58:58" x14ac:dyDescent="0.2">
      <c r="BF2486" s="86" t="e">
        <f t="shared" si="112"/>
        <v>#NUM!</v>
      </c>
    </row>
    <row r="2487" spans="58:58" x14ac:dyDescent="0.2">
      <c r="BF2487" s="86" t="e">
        <f t="shared" si="112"/>
        <v>#NUM!</v>
      </c>
    </row>
    <row r="2488" spans="58:58" x14ac:dyDescent="0.2">
      <c r="BF2488" s="86" t="e">
        <f t="shared" si="112"/>
        <v>#NUM!</v>
      </c>
    </row>
    <row r="2489" spans="58:58" x14ac:dyDescent="0.2">
      <c r="BF2489" s="86" t="e">
        <f t="shared" si="112"/>
        <v>#NUM!</v>
      </c>
    </row>
    <row r="2490" spans="58:58" x14ac:dyDescent="0.2">
      <c r="BF2490" s="86" t="e">
        <f t="shared" si="112"/>
        <v>#NUM!</v>
      </c>
    </row>
    <row r="2491" spans="58:58" x14ac:dyDescent="0.2">
      <c r="BF2491" s="86" t="e">
        <f t="shared" si="112"/>
        <v>#NUM!</v>
      </c>
    </row>
    <row r="2492" spans="58:58" x14ac:dyDescent="0.2">
      <c r="BF2492" s="86" t="e">
        <f t="shared" si="112"/>
        <v>#NUM!</v>
      </c>
    </row>
    <row r="2493" spans="58:58" x14ac:dyDescent="0.2">
      <c r="BF2493" s="86" t="e">
        <f t="shared" si="112"/>
        <v>#NUM!</v>
      </c>
    </row>
    <row r="2494" spans="58:58" x14ac:dyDescent="0.2">
      <c r="BF2494" s="86" t="e">
        <f t="shared" si="112"/>
        <v>#NUM!</v>
      </c>
    </row>
    <row r="2495" spans="58:58" x14ac:dyDescent="0.2">
      <c r="BF2495" s="86" t="e">
        <f t="shared" si="112"/>
        <v>#NUM!</v>
      </c>
    </row>
    <row r="2496" spans="58:58" x14ac:dyDescent="0.2">
      <c r="BF2496" s="86" t="e">
        <f t="shared" si="112"/>
        <v>#NUM!</v>
      </c>
    </row>
    <row r="2497" spans="58:58" x14ac:dyDescent="0.2">
      <c r="BF2497" s="86" t="e">
        <f t="shared" si="112"/>
        <v>#NUM!</v>
      </c>
    </row>
    <row r="2498" spans="58:58" x14ac:dyDescent="0.2">
      <c r="BF2498" s="86" t="e">
        <f t="shared" si="112"/>
        <v>#NUM!</v>
      </c>
    </row>
    <row r="2499" spans="58:58" x14ac:dyDescent="0.2">
      <c r="BF2499" s="86" t="e">
        <f t="shared" si="112"/>
        <v>#NUM!</v>
      </c>
    </row>
    <row r="2500" spans="58:58" x14ac:dyDescent="0.2">
      <c r="BF2500" s="86" t="e">
        <f t="shared" si="112"/>
        <v>#NUM!</v>
      </c>
    </row>
    <row r="2501" spans="58:58" x14ac:dyDescent="0.2">
      <c r="BF2501" s="86" t="e">
        <f t="shared" si="112"/>
        <v>#NUM!</v>
      </c>
    </row>
    <row r="2502" spans="58:58" x14ac:dyDescent="0.2">
      <c r="BF2502" s="86" t="e">
        <f t="shared" si="112"/>
        <v>#NUM!</v>
      </c>
    </row>
    <row r="2503" spans="58:58" x14ac:dyDescent="0.2">
      <c r="BF2503" s="86" t="e">
        <f t="shared" si="112"/>
        <v>#NUM!</v>
      </c>
    </row>
    <row r="2504" spans="58:58" x14ac:dyDescent="0.2">
      <c r="BF2504" s="86" t="e">
        <f t="shared" si="112"/>
        <v>#NUM!</v>
      </c>
    </row>
    <row r="2505" spans="58:58" x14ac:dyDescent="0.2">
      <c r="BF2505" s="86" t="e">
        <f t="shared" si="112"/>
        <v>#NUM!</v>
      </c>
    </row>
    <row r="2506" spans="58:58" x14ac:dyDescent="0.2">
      <c r="BF2506" s="86" t="e">
        <f t="shared" si="112"/>
        <v>#NUM!</v>
      </c>
    </row>
    <row r="2507" spans="58:58" x14ac:dyDescent="0.2">
      <c r="BF2507" s="86" t="e">
        <f t="shared" si="112"/>
        <v>#NUM!</v>
      </c>
    </row>
    <row r="2508" spans="58:58" x14ac:dyDescent="0.2">
      <c r="BF2508" s="86" t="e">
        <f t="shared" si="112"/>
        <v>#NUM!</v>
      </c>
    </row>
    <row r="2509" spans="58:58" x14ac:dyDescent="0.2">
      <c r="BF2509" s="86" t="e">
        <f t="shared" si="112"/>
        <v>#NUM!</v>
      </c>
    </row>
    <row r="2510" spans="58:58" x14ac:dyDescent="0.2">
      <c r="BF2510" s="86" t="e">
        <f t="shared" si="112"/>
        <v>#NUM!</v>
      </c>
    </row>
    <row r="2511" spans="58:58" x14ac:dyDescent="0.2">
      <c r="BF2511" s="86" t="e">
        <f t="shared" si="112"/>
        <v>#NUM!</v>
      </c>
    </row>
    <row r="2512" spans="58:58" x14ac:dyDescent="0.2">
      <c r="BF2512" s="86" t="e">
        <f t="shared" si="112"/>
        <v>#NUM!</v>
      </c>
    </row>
    <row r="2513" spans="58:58" x14ac:dyDescent="0.2">
      <c r="BF2513" s="86" t="e">
        <f t="shared" si="112"/>
        <v>#NUM!</v>
      </c>
    </row>
    <row r="2514" spans="58:58" x14ac:dyDescent="0.2">
      <c r="BF2514" s="86" t="e">
        <f t="shared" si="112"/>
        <v>#NUM!</v>
      </c>
    </row>
    <row r="2515" spans="58:58" x14ac:dyDescent="0.2">
      <c r="BF2515" s="86" t="e">
        <f t="shared" si="112"/>
        <v>#NUM!</v>
      </c>
    </row>
    <row r="2516" spans="58:58" x14ac:dyDescent="0.2">
      <c r="BF2516" s="86" t="e">
        <f t="shared" si="112"/>
        <v>#NUM!</v>
      </c>
    </row>
    <row r="2517" spans="58:58" x14ac:dyDescent="0.2">
      <c r="BF2517" s="86" t="e">
        <f t="shared" si="112"/>
        <v>#NUM!</v>
      </c>
    </row>
    <row r="2518" spans="58:58" x14ac:dyDescent="0.2">
      <c r="BF2518" s="86" t="e">
        <f t="shared" si="112"/>
        <v>#NUM!</v>
      </c>
    </row>
    <row r="2519" spans="58:58" x14ac:dyDescent="0.2">
      <c r="BF2519" s="86" t="e">
        <f t="shared" si="112"/>
        <v>#NUM!</v>
      </c>
    </row>
    <row r="2520" spans="58:58" x14ac:dyDescent="0.2">
      <c r="BF2520" s="86" t="e">
        <f t="shared" si="112"/>
        <v>#NUM!</v>
      </c>
    </row>
    <row r="2521" spans="58:58" x14ac:dyDescent="0.2">
      <c r="BF2521" s="86" t="e">
        <f t="shared" si="112"/>
        <v>#NUM!</v>
      </c>
    </row>
    <row r="2522" spans="58:58" x14ac:dyDescent="0.2">
      <c r="BF2522" s="86" t="e">
        <f t="shared" si="112"/>
        <v>#NUM!</v>
      </c>
    </row>
    <row r="2523" spans="58:58" x14ac:dyDescent="0.2">
      <c r="BF2523" s="86" t="e">
        <f t="shared" si="112"/>
        <v>#NUM!</v>
      </c>
    </row>
    <row r="2524" spans="58:58" x14ac:dyDescent="0.2">
      <c r="BF2524" s="86" t="e">
        <f t="shared" si="112"/>
        <v>#NUM!</v>
      </c>
    </row>
    <row r="2525" spans="58:58" x14ac:dyDescent="0.2">
      <c r="BF2525" s="86" t="e">
        <f t="shared" si="112"/>
        <v>#NUM!</v>
      </c>
    </row>
    <row r="2526" spans="58:58" x14ac:dyDescent="0.2">
      <c r="BF2526" s="86" t="e">
        <f t="shared" si="112"/>
        <v>#NUM!</v>
      </c>
    </row>
    <row r="2527" spans="58:58" x14ac:dyDescent="0.2">
      <c r="BF2527" s="86" t="e">
        <f t="shared" si="112"/>
        <v>#NUM!</v>
      </c>
    </row>
    <row r="2528" spans="58:58" x14ac:dyDescent="0.2">
      <c r="BF2528" s="86" t="e">
        <f t="shared" si="112"/>
        <v>#NUM!</v>
      </c>
    </row>
    <row r="2529" spans="58:58" x14ac:dyDescent="0.2">
      <c r="BF2529" s="86" t="e">
        <f t="shared" si="112"/>
        <v>#NUM!</v>
      </c>
    </row>
    <row r="2530" spans="58:58" x14ac:dyDescent="0.2">
      <c r="BF2530" s="86" t="e">
        <f t="shared" si="112"/>
        <v>#NUM!</v>
      </c>
    </row>
    <row r="2531" spans="58:58" x14ac:dyDescent="0.2">
      <c r="BF2531" s="86" t="e">
        <f t="shared" si="112"/>
        <v>#NUM!</v>
      </c>
    </row>
    <row r="2532" spans="58:58" x14ac:dyDescent="0.2">
      <c r="BF2532" s="86" t="e">
        <f t="shared" si="112"/>
        <v>#NUM!</v>
      </c>
    </row>
    <row r="2533" spans="58:58" x14ac:dyDescent="0.2">
      <c r="BF2533" s="86" t="e">
        <f t="shared" si="112"/>
        <v>#NUM!</v>
      </c>
    </row>
    <row r="2534" spans="58:58" x14ac:dyDescent="0.2">
      <c r="BF2534" s="86" t="e">
        <f t="shared" ref="BF2534:BF2597" si="113">MEDIAN(BH2534:BU2534)</f>
        <v>#NUM!</v>
      </c>
    </row>
    <row r="2535" spans="58:58" x14ac:dyDescent="0.2">
      <c r="BF2535" s="86" t="e">
        <f t="shared" si="113"/>
        <v>#NUM!</v>
      </c>
    </row>
    <row r="2536" spans="58:58" x14ac:dyDescent="0.2">
      <c r="BF2536" s="86" t="e">
        <f t="shared" si="113"/>
        <v>#NUM!</v>
      </c>
    </row>
    <row r="2537" spans="58:58" x14ac:dyDescent="0.2">
      <c r="BF2537" s="86" t="e">
        <f t="shared" si="113"/>
        <v>#NUM!</v>
      </c>
    </row>
    <row r="2538" spans="58:58" x14ac:dyDescent="0.2">
      <c r="BF2538" s="86" t="e">
        <f t="shared" si="113"/>
        <v>#NUM!</v>
      </c>
    </row>
    <row r="2539" spans="58:58" x14ac:dyDescent="0.2">
      <c r="BF2539" s="86" t="e">
        <f t="shared" si="113"/>
        <v>#NUM!</v>
      </c>
    </row>
    <row r="2540" spans="58:58" x14ac:dyDescent="0.2">
      <c r="BF2540" s="86" t="e">
        <f t="shared" si="113"/>
        <v>#NUM!</v>
      </c>
    </row>
    <row r="2541" spans="58:58" x14ac:dyDescent="0.2">
      <c r="BF2541" s="86" t="e">
        <f t="shared" si="113"/>
        <v>#NUM!</v>
      </c>
    </row>
    <row r="2542" spans="58:58" x14ac:dyDescent="0.2">
      <c r="BF2542" s="86" t="e">
        <f t="shared" si="113"/>
        <v>#NUM!</v>
      </c>
    </row>
    <row r="2543" spans="58:58" x14ac:dyDescent="0.2">
      <c r="BF2543" s="86" t="e">
        <f t="shared" si="113"/>
        <v>#NUM!</v>
      </c>
    </row>
    <row r="2544" spans="58:58" x14ac:dyDescent="0.2">
      <c r="BF2544" s="86" t="e">
        <f t="shared" si="113"/>
        <v>#NUM!</v>
      </c>
    </row>
    <row r="2545" spans="58:58" x14ac:dyDescent="0.2">
      <c r="BF2545" s="86" t="e">
        <f t="shared" si="113"/>
        <v>#NUM!</v>
      </c>
    </row>
    <row r="2546" spans="58:58" x14ac:dyDescent="0.2">
      <c r="BF2546" s="86" t="e">
        <f t="shared" si="113"/>
        <v>#NUM!</v>
      </c>
    </row>
    <row r="2547" spans="58:58" x14ac:dyDescent="0.2">
      <c r="BF2547" s="86" t="e">
        <f t="shared" si="113"/>
        <v>#NUM!</v>
      </c>
    </row>
    <row r="2548" spans="58:58" x14ac:dyDescent="0.2">
      <c r="BF2548" s="86" t="e">
        <f t="shared" si="113"/>
        <v>#NUM!</v>
      </c>
    </row>
    <row r="2549" spans="58:58" x14ac:dyDescent="0.2">
      <c r="BF2549" s="86" t="e">
        <f t="shared" si="113"/>
        <v>#NUM!</v>
      </c>
    </row>
    <row r="2550" spans="58:58" x14ac:dyDescent="0.2">
      <c r="BF2550" s="86" t="e">
        <f t="shared" si="113"/>
        <v>#NUM!</v>
      </c>
    </row>
    <row r="2551" spans="58:58" x14ac:dyDescent="0.2">
      <c r="BF2551" s="86" t="e">
        <f t="shared" si="113"/>
        <v>#NUM!</v>
      </c>
    </row>
    <row r="2552" spans="58:58" x14ac:dyDescent="0.2">
      <c r="BF2552" s="86" t="e">
        <f t="shared" si="113"/>
        <v>#NUM!</v>
      </c>
    </row>
    <row r="2553" spans="58:58" x14ac:dyDescent="0.2">
      <c r="BF2553" s="86" t="e">
        <f t="shared" si="113"/>
        <v>#NUM!</v>
      </c>
    </row>
    <row r="2554" spans="58:58" x14ac:dyDescent="0.2">
      <c r="BF2554" s="86" t="e">
        <f t="shared" si="113"/>
        <v>#NUM!</v>
      </c>
    </row>
    <row r="2555" spans="58:58" x14ac:dyDescent="0.2">
      <c r="BF2555" s="86" t="e">
        <f t="shared" si="113"/>
        <v>#NUM!</v>
      </c>
    </row>
    <row r="2556" spans="58:58" x14ac:dyDescent="0.2">
      <c r="BF2556" s="86" t="e">
        <f t="shared" si="113"/>
        <v>#NUM!</v>
      </c>
    </row>
    <row r="2557" spans="58:58" x14ac:dyDescent="0.2">
      <c r="BF2557" s="86" t="e">
        <f t="shared" si="113"/>
        <v>#NUM!</v>
      </c>
    </row>
    <row r="2558" spans="58:58" x14ac:dyDescent="0.2">
      <c r="BF2558" s="86" t="e">
        <f t="shared" si="113"/>
        <v>#NUM!</v>
      </c>
    </row>
    <row r="2559" spans="58:58" x14ac:dyDescent="0.2">
      <c r="BF2559" s="86" t="e">
        <f t="shared" si="113"/>
        <v>#NUM!</v>
      </c>
    </row>
    <row r="2560" spans="58:58" x14ac:dyDescent="0.2">
      <c r="BF2560" s="86" t="e">
        <f t="shared" si="113"/>
        <v>#NUM!</v>
      </c>
    </row>
    <row r="2561" spans="58:58" x14ac:dyDescent="0.2">
      <c r="BF2561" s="86" t="e">
        <f t="shared" si="113"/>
        <v>#NUM!</v>
      </c>
    </row>
    <row r="2562" spans="58:58" x14ac:dyDescent="0.2">
      <c r="BF2562" s="86" t="e">
        <f t="shared" si="113"/>
        <v>#NUM!</v>
      </c>
    </row>
    <row r="2563" spans="58:58" x14ac:dyDescent="0.2">
      <c r="BF2563" s="86" t="e">
        <f t="shared" si="113"/>
        <v>#NUM!</v>
      </c>
    </row>
    <row r="2564" spans="58:58" x14ac:dyDescent="0.2">
      <c r="BF2564" s="86" t="e">
        <f t="shared" si="113"/>
        <v>#NUM!</v>
      </c>
    </row>
    <row r="2565" spans="58:58" x14ac:dyDescent="0.2">
      <c r="BF2565" s="86" t="e">
        <f t="shared" si="113"/>
        <v>#NUM!</v>
      </c>
    </row>
    <row r="2566" spans="58:58" x14ac:dyDescent="0.2">
      <c r="BF2566" s="86" t="e">
        <f t="shared" si="113"/>
        <v>#NUM!</v>
      </c>
    </row>
    <row r="2567" spans="58:58" x14ac:dyDescent="0.2">
      <c r="BF2567" s="86" t="e">
        <f t="shared" si="113"/>
        <v>#NUM!</v>
      </c>
    </row>
    <row r="2568" spans="58:58" x14ac:dyDescent="0.2">
      <c r="BF2568" s="86" t="e">
        <f t="shared" si="113"/>
        <v>#NUM!</v>
      </c>
    </row>
    <row r="2569" spans="58:58" x14ac:dyDescent="0.2">
      <c r="BF2569" s="86" t="e">
        <f t="shared" si="113"/>
        <v>#NUM!</v>
      </c>
    </row>
    <row r="2570" spans="58:58" x14ac:dyDescent="0.2">
      <c r="BF2570" s="86" t="e">
        <f t="shared" si="113"/>
        <v>#NUM!</v>
      </c>
    </row>
    <row r="2571" spans="58:58" x14ac:dyDescent="0.2">
      <c r="BF2571" s="86" t="e">
        <f t="shared" si="113"/>
        <v>#NUM!</v>
      </c>
    </row>
    <row r="2572" spans="58:58" x14ac:dyDescent="0.2">
      <c r="BF2572" s="86" t="e">
        <f t="shared" si="113"/>
        <v>#NUM!</v>
      </c>
    </row>
    <row r="2573" spans="58:58" x14ac:dyDescent="0.2">
      <c r="BF2573" s="86" t="e">
        <f t="shared" si="113"/>
        <v>#NUM!</v>
      </c>
    </row>
    <row r="2574" spans="58:58" x14ac:dyDescent="0.2">
      <c r="BF2574" s="86" t="e">
        <f t="shared" si="113"/>
        <v>#NUM!</v>
      </c>
    </row>
    <row r="2575" spans="58:58" x14ac:dyDescent="0.2">
      <c r="BF2575" s="86" t="e">
        <f t="shared" si="113"/>
        <v>#NUM!</v>
      </c>
    </row>
    <row r="2576" spans="58:58" x14ac:dyDescent="0.2">
      <c r="BF2576" s="86" t="e">
        <f t="shared" si="113"/>
        <v>#NUM!</v>
      </c>
    </row>
    <row r="2577" spans="58:58" x14ac:dyDescent="0.2">
      <c r="BF2577" s="86" t="e">
        <f t="shared" si="113"/>
        <v>#NUM!</v>
      </c>
    </row>
    <row r="2578" spans="58:58" x14ac:dyDescent="0.2">
      <c r="BF2578" s="86" t="e">
        <f t="shared" si="113"/>
        <v>#NUM!</v>
      </c>
    </row>
    <row r="2579" spans="58:58" x14ac:dyDescent="0.2">
      <c r="BF2579" s="86" t="e">
        <f t="shared" si="113"/>
        <v>#NUM!</v>
      </c>
    </row>
    <row r="2580" spans="58:58" x14ac:dyDescent="0.2">
      <c r="BF2580" s="86" t="e">
        <f t="shared" si="113"/>
        <v>#NUM!</v>
      </c>
    </row>
    <row r="2581" spans="58:58" x14ac:dyDescent="0.2">
      <c r="BF2581" s="86" t="e">
        <f t="shared" si="113"/>
        <v>#NUM!</v>
      </c>
    </row>
    <row r="2582" spans="58:58" x14ac:dyDescent="0.2">
      <c r="BF2582" s="86" t="e">
        <f t="shared" si="113"/>
        <v>#NUM!</v>
      </c>
    </row>
    <row r="2583" spans="58:58" x14ac:dyDescent="0.2">
      <c r="BF2583" s="86" t="e">
        <f t="shared" si="113"/>
        <v>#NUM!</v>
      </c>
    </row>
    <row r="2584" spans="58:58" x14ac:dyDescent="0.2">
      <c r="BF2584" s="86" t="e">
        <f t="shared" si="113"/>
        <v>#NUM!</v>
      </c>
    </row>
    <row r="2585" spans="58:58" x14ac:dyDescent="0.2">
      <c r="BF2585" s="86" t="e">
        <f t="shared" si="113"/>
        <v>#NUM!</v>
      </c>
    </row>
    <row r="2586" spans="58:58" x14ac:dyDescent="0.2">
      <c r="BF2586" s="86" t="e">
        <f t="shared" si="113"/>
        <v>#NUM!</v>
      </c>
    </row>
    <row r="2587" spans="58:58" x14ac:dyDescent="0.2">
      <c r="BF2587" s="86" t="e">
        <f t="shared" si="113"/>
        <v>#NUM!</v>
      </c>
    </row>
    <row r="2588" spans="58:58" x14ac:dyDescent="0.2">
      <c r="BF2588" s="86" t="e">
        <f t="shared" si="113"/>
        <v>#NUM!</v>
      </c>
    </row>
    <row r="2589" spans="58:58" x14ac:dyDescent="0.2">
      <c r="BF2589" s="86" t="e">
        <f t="shared" si="113"/>
        <v>#NUM!</v>
      </c>
    </row>
    <row r="2590" spans="58:58" x14ac:dyDescent="0.2">
      <c r="BF2590" s="86" t="e">
        <f t="shared" si="113"/>
        <v>#NUM!</v>
      </c>
    </row>
    <row r="2591" spans="58:58" x14ac:dyDescent="0.2">
      <c r="BF2591" s="86" t="e">
        <f t="shared" si="113"/>
        <v>#NUM!</v>
      </c>
    </row>
    <row r="2592" spans="58:58" x14ac:dyDescent="0.2">
      <c r="BF2592" s="86" t="e">
        <f t="shared" si="113"/>
        <v>#NUM!</v>
      </c>
    </row>
    <row r="2593" spans="58:58" x14ac:dyDescent="0.2">
      <c r="BF2593" s="86" t="e">
        <f t="shared" si="113"/>
        <v>#NUM!</v>
      </c>
    </row>
    <row r="2594" spans="58:58" x14ac:dyDescent="0.2">
      <c r="BF2594" s="86" t="e">
        <f t="shared" si="113"/>
        <v>#NUM!</v>
      </c>
    </row>
    <row r="2595" spans="58:58" x14ac:dyDescent="0.2">
      <c r="BF2595" s="86" t="e">
        <f t="shared" si="113"/>
        <v>#NUM!</v>
      </c>
    </row>
    <row r="2596" spans="58:58" x14ac:dyDescent="0.2">
      <c r="BF2596" s="86" t="e">
        <f t="shared" si="113"/>
        <v>#NUM!</v>
      </c>
    </row>
    <row r="2597" spans="58:58" x14ac:dyDescent="0.2">
      <c r="BF2597" s="86" t="e">
        <f t="shared" si="113"/>
        <v>#NUM!</v>
      </c>
    </row>
    <row r="2598" spans="58:58" x14ac:dyDescent="0.2">
      <c r="BF2598" s="86" t="e">
        <f t="shared" ref="BF2598:BF2661" si="114">MEDIAN(BH2598:BU2598)</f>
        <v>#NUM!</v>
      </c>
    </row>
    <row r="2599" spans="58:58" x14ac:dyDescent="0.2">
      <c r="BF2599" s="86" t="e">
        <f t="shared" si="114"/>
        <v>#NUM!</v>
      </c>
    </row>
    <row r="2600" spans="58:58" x14ac:dyDescent="0.2">
      <c r="BF2600" s="86" t="e">
        <f t="shared" si="114"/>
        <v>#NUM!</v>
      </c>
    </row>
    <row r="2601" spans="58:58" x14ac:dyDescent="0.2">
      <c r="BF2601" s="86" t="e">
        <f t="shared" si="114"/>
        <v>#NUM!</v>
      </c>
    </row>
    <row r="2602" spans="58:58" x14ac:dyDescent="0.2">
      <c r="BF2602" s="86" t="e">
        <f t="shared" si="114"/>
        <v>#NUM!</v>
      </c>
    </row>
    <row r="2603" spans="58:58" x14ac:dyDescent="0.2">
      <c r="BF2603" s="86" t="e">
        <f t="shared" si="114"/>
        <v>#NUM!</v>
      </c>
    </row>
    <row r="2604" spans="58:58" x14ac:dyDescent="0.2">
      <c r="BF2604" s="86" t="e">
        <f t="shared" si="114"/>
        <v>#NUM!</v>
      </c>
    </row>
    <row r="2605" spans="58:58" x14ac:dyDescent="0.2">
      <c r="BF2605" s="86" t="e">
        <f t="shared" si="114"/>
        <v>#NUM!</v>
      </c>
    </row>
    <row r="2606" spans="58:58" x14ac:dyDescent="0.2">
      <c r="BF2606" s="86" t="e">
        <f t="shared" si="114"/>
        <v>#NUM!</v>
      </c>
    </row>
    <row r="2607" spans="58:58" x14ac:dyDescent="0.2">
      <c r="BF2607" s="86" t="e">
        <f t="shared" si="114"/>
        <v>#NUM!</v>
      </c>
    </row>
    <row r="2608" spans="58:58" x14ac:dyDescent="0.2">
      <c r="BF2608" s="86" t="e">
        <f t="shared" si="114"/>
        <v>#NUM!</v>
      </c>
    </row>
    <row r="2609" spans="58:58" x14ac:dyDescent="0.2">
      <c r="BF2609" s="86" t="e">
        <f t="shared" si="114"/>
        <v>#NUM!</v>
      </c>
    </row>
    <row r="2610" spans="58:58" x14ac:dyDescent="0.2">
      <c r="BF2610" s="86" t="e">
        <f t="shared" si="114"/>
        <v>#NUM!</v>
      </c>
    </row>
    <row r="2611" spans="58:58" x14ac:dyDescent="0.2">
      <c r="BF2611" s="86" t="e">
        <f t="shared" si="114"/>
        <v>#NUM!</v>
      </c>
    </row>
    <row r="2612" spans="58:58" x14ac:dyDescent="0.2">
      <c r="BF2612" s="86" t="e">
        <f t="shared" si="114"/>
        <v>#NUM!</v>
      </c>
    </row>
    <row r="2613" spans="58:58" x14ac:dyDescent="0.2">
      <c r="BF2613" s="86" t="e">
        <f t="shared" si="114"/>
        <v>#NUM!</v>
      </c>
    </row>
    <row r="2614" spans="58:58" x14ac:dyDescent="0.2">
      <c r="BF2614" s="86" t="e">
        <f t="shared" si="114"/>
        <v>#NUM!</v>
      </c>
    </row>
    <row r="2615" spans="58:58" x14ac:dyDescent="0.2">
      <c r="BF2615" s="86" t="e">
        <f t="shared" si="114"/>
        <v>#NUM!</v>
      </c>
    </row>
    <row r="2616" spans="58:58" x14ac:dyDescent="0.2">
      <c r="BF2616" s="86" t="e">
        <f t="shared" si="114"/>
        <v>#NUM!</v>
      </c>
    </row>
    <row r="2617" spans="58:58" x14ac:dyDescent="0.2">
      <c r="BF2617" s="86" t="e">
        <f t="shared" si="114"/>
        <v>#NUM!</v>
      </c>
    </row>
    <row r="2618" spans="58:58" x14ac:dyDescent="0.2">
      <c r="BF2618" s="86" t="e">
        <f t="shared" si="114"/>
        <v>#NUM!</v>
      </c>
    </row>
    <row r="2619" spans="58:58" x14ac:dyDescent="0.2">
      <c r="BF2619" s="86" t="e">
        <f t="shared" si="114"/>
        <v>#NUM!</v>
      </c>
    </row>
    <row r="2620" spans="58:58" x14ac:dyDescent="0.2">
      <c r="BF2620" s="86" t="e">
        <f t="shared" si="114"/>
        <v>#NUM!</v>
      </c>
    </row>
    <row r="2621" spans="58:58" x14ac:dyDescent="0.2">
      <c r="BF2621" s="86" t="e">
        <f t="shared" si="114"/>
        <v>#NUM!</v>
      </c>
    </row>
    <row r="2622" spans="58:58" x14ac:dyDescent="0.2">
      <c r="BF2622" s="86" t="e">
        <f t="shared" si="114"/>
        <v>#NUM!</v>
      </c>
    </row>
    <row r="2623" spans="58:58" x14ac:dyDescent="0.2">
      <c r="BF2623" s="86" t="e">
        <f t="shared" si="114"/>
        <v>#NUM!</v>
      </c>
    </row>
    <row r="2624" spans="58:58" x14ac:dyDescent="0.2">
      <c r="BF2624" s="86" t="e">
        <f t="shared" si="114"/>
        <v>#NUM!</v>
      </c>
    </row>
    <row r="2625" spans="58:58" x14ac:dyDescent="0.2">
      <c r="BF2625" s="86" t="e">
        <f t="shared" si="114"/>
        <v>#NUM!</v>
      </c>
    </row>
    <row r="2626" spans="58:58" x14ac:dyDescent="0.2">
      <c r="BF2626" s="86" t="e">
        <f t="shared" si="114"/>
        <v>#NUM!</v>
      </c>
    </row>
    <row r="2627" spans="58:58" x14ac:dyDescent="0.2">
      <c r="BF2627" s="86" t="e">
        <f t="shared" si="114"/>
        <v>#NUM!</v>
      </c>
    </row>
    <row r="2628" spans="58:58" x14ac:dyDescent="0.2">
      <c r="BF2628" s="86" t="e">
        <f t="shared" si="114"/>
        <v>#NUM!</v>
      </c>
    </row>
    <row r="2629" spans="58:58" x14ac:dyDescent="0.2">
      <c r="BF2629" s="86" t="e">
        <f t="shared" si="114"/>
        <v>#NUM!</v>
      </c>
    </row>
    <row r="2630" spans="58:58" x14ac:dyDescent="0.2">
      <c r="BF2630" s="86" t="e">
        <f t="shared" si="114"/>
        <v>#NUM!</v>
      </c>
    </row>
    <row r="2631" spans="58:58" x14ac:dyDescent="0.2">
      <c r="BF2631" s="86" t="e">
        <f t="shared" si="114"/>
        <v>#NUM!</v>
      </c>
    </row>
    <row r="2632" spans="58:58" x14ac:dyDescent="0.2">
      <c r="BF2632" s="86" t="e">
        <f t="shared" si="114"/>
        <v>#NUM!</v>
      </c>
    </row>
    <row r="2633" spans="58:58" x14ac:dyDescent="0.2">
      <c r="BF2633" s="86" t="e">
        <f t="shared" si="114"/>
        <v>#NUM!</v>
      </c>
    </row>
    <row r="2634" spans="58:58" x14ac:dyDescent="0.2">
      <c r="BF2634" s="86" t="e">
        <f t="shared" si="114"/>
        <v>#NUM!</v>
      </c>
    </row>
    <row r="2635" spans="58:58" x14ac:dyDescent="0.2">
      <c r="BF2635" s="86" t="e">
        <f t="shared" si="114"/>
        <v>#NUM!</v>
      </c>
    </row>
    <row r="2636" spans="58:58" x14ac:dyDescent="0.2">
      <c r="BF2636" s="86" t="e">
        <f t="shared" si="114"/>
        <v>#NUM!</v>
      </c>
    </row>
    <row r="2637" spans="58:58" x14ac:dyDescent="0.2">
      <c r="BF2637" s="86" t="e">
        <f t="shared" si="114"/>
        <v>#NUM!</v>
      </c>
    </row>
    <row r="2638" spans="58:58" x14ac:dyDescent="0.2">
      <c r="BF2638" s="86" t="e">
        <f t="shared" si="114"/>
        <v>#NUM!</v>
      </c>
    </row>
    <row r="2639" spans="58:58" x14ac:dyDescent="0.2">
      <c r="BF2639" s="86" t="e">
        <f t="shared" si="114"/>
        <v>#NUM!</v>
      </c>
    </row>
    <row r="2640" spans="58:58" x14ac:dyDescent="0.2">
      <c r="BF2640" s="86" t="e">
        <f t="shared" si="114"/>
        <v>#NUM!</v>
      </c>
    </row>
    <row r="2641" spans="58:58" x14ac:dyDescent="0.2">
      <c r="BF2641" s="86" t="e">
        <f t="shared" si="114"/>
        <v>#NUM!</v>
      </c>
    </row>
    <row r="2642" spans="58:58" x14ac:dyDescent="0.2">
      <c r="BF2642" s="86" t="e">
        <f t="shared" si="114"/>
        <v>#NUM!</v>
      </c>
    </row>
    <row r="2643" spans="58:58" x14ac:dyDescent="0.2">
      <c r="BF2643" s="86" t="e">
        <f t="shared" si="114"/>
        <v>#NUM!</v>
      </c>
    </row>
    <row r="2644" spans="58:58" x14ac:dyDescent="0.2">
      <c r="BF2644" s="86" t="e">
        <f t="shared" si="114"/>
        <v>#NUM!</v>
      </c>
    </row>
    <row r="2645" spans="58:58" x14ac:dyDescent="0.2">
      <c r="BF2645" s="86" t="e">
        <f t="shared" si="114"/>
        <v>#NUM!</v>
      </c>
    </row>
    <row r="2646" spans="58:58" x14ac:dyDescent="0.2">
      <c r="BF2646" s="86" t="e">
        <f t="shared" si="114"/>
        <v>#NUM!</v>
      </c>
    </row>
    <row r="2647" spans="58:58" x14ac:dyDescent="0.2">
      <c r="BF2647" s="86" t="e">
        <f t="shared" si="114"/>
        <v>#NUM!</v>
      </c>
    </row>
    <row r="2648" spans="58:58" x14ac:dyDescent="0.2">
      <c r="BF2648" s="86" t="e">
        <f t="shared" si="114"/>
        <v>#NUM!</v>
      </c>
    </row>
    <row r="2649" spans="58:58" x14ac:dyDescent="0.2">
      <c r="BF2649" s="86" t="e">
        <f t="shared" si="114"/>
        <v>#NUM!</v>
      </c>
    </row>
    <row r="2650" spans="58:58" x14ac:dyDescent="0.2">
      <c r="BF2650" s="86" t="e">
        <f t="shared" si="114"/>
        <v>#NUM!</v>
      </c>
    </row>
    <row r="2651" spans="58:58" x14ac:dyDescent="0.2">
      <c r="BF2651" s="86" t="e">
        <f t="shared" si="114"/>
        <v>#NUM!</v>
      </c>
    </row>
    <row r="2652" spans="58:58" x14ac:dyDescent="0.2">
      <c r="BF2652" s="86" t="e">
        <f t="shared" si="114"/>
        <v>#NUM!</v>
      </c>
    </row>
    <row r="2653" spans="58:58" x14ac:dyDescent="0.2">
      <c r="BF2653" s="86" t="e">
        <f t="shared" si="114"/>
        <v>#NUM!</v>
      </c>
    </row>
    <row r="2654" spans="58:58" x14ac:dyDescent="0.2">
      <c r="BF2654" s="86" t="e">
        <f t="shared" si="114"/>
        <v>#NUM!</v>
      </c>
    </row>
    <row r="2655" spans="58:58" x14ac:dyDescent="0.2">
      <c r="BF2655" s="86" t="e">
        <f t="shared" si="114"/>
        <v>#NUM!</v>
      </c>
    </row>
    <row r="2656" spans="58:58" x14ac:dyDescent="0.2">
      <c r="BF2656" s="86" t="e">
        <f t="shared" si="114"/>
        <v>#NUM!</v>
      </c>
    </row>
    <row r="2657" spans="58:58" x14ac:dyDescent="0.2">
      <c r="BF2657" s="86" t="e">
        <f t="shared" si="114"/>
        <v>#NUM!</v>
      </c>
    </row>
    <row r="2658" spans="58:58" x14ac:dyDescent="0.2">
      <c r="BF2658" s="86" t="e">
        <f t="shared" si="114"/>
        <v>#NUM!</v>
      </c>
    </row>
    <row r="2659" spans="58:58" x14ac:dyDescent="0.2">
      <c r="BF2659" s="86" t="e">
        <f t="shared" si="114"/>
        <v>#NUM!</v>
      </c>
    </row>
    <row r="2660" spans="58:58" x14ac:dyDescent="0.2">
      <c r="BF2660" s="86" t="e">
        <f t="shared" si="114"/>
        <v>#NUM!</v>
      </c>
    </row>
    <row r="2661" spans="58:58" x14ac:dyDescent="0.2">
      <c r="BF2661" s="86" t="e">
        <f t="shared" si="114"/>
        <v>#NUM!</v>
      </c>
    </row>
    <row r="2662" spans="58:58" x14ac:dyDescent="0.2">
      <c r="BF2662" s="86" t="e">
        <f t="shared" ref="BF2662:BF2725" si="115">MEDIAN(BH2662:BU2662)</f>
        <v>#NUM!</v>
      </c>
    </row>
    <row r="2663" spans="58:58" x14ac:dyDescent="0.2">
      <c r="BF2663" s="86" t="e">
        <f t="shared" si="115"/>
        <v>#NUM!</v>
      </c>
    </row>
    <row r="2664" spans="58:58" x14ac:dyDescent="0.2">
      <c r="BF2664" s="86" t="e">
        <f t="shared" si="115"/>
        <v>#NUM!</v>
      </c>
    </row>
    <row r="2665" spans="58:58" x14ac:dyDescent="0.2">
      <c r="BF2665" s="86" t="e">
        <f t="shared" si="115"/>
        <v>#NUM!</v>
      </c>
    </row>
    <row r="2666" spans="58:58" x14ac:dyDescent="0.2">
      <c r="BF2666" s="86" t="e">
        <f t="shared" si="115"/>
        <v>#NUM!</v>
      </c>
    </row>
    <row r="2667" spans="58:58" x14ac:dyDescent="0.2">
      <c r="BF2667" s="86" t="e">
        <f t="shared" si="115"/>
        <v>#NUM!</v>
      </c>
    </row>
    <row r="2668" spans="58:58" x14ac:dyDescent="0.2">
      <c r="BF2668" s="86" t="e">
        <f t="shared" si="115"/>
        <v>#NUM!</v>
      </c>
    </row>
    <row r="2669" spans="58:58" x14ac:dyDescent="0.2">
      <c r="BF2669" s="86" t="e">
        <f t="shared" si="115"/>
        <v>#NUM!</v>
      </c>
    </row>
    <row r="2670" spans="58:58" x14ac:dyDescent="0.2">
      <c r="BF2670" s="86" t="e">
        <f t="shared" si="115"/>
        <v>#NUM!</v>
      </c>
    </row>
    <row r="2671" spans="58:58" x14ac:dyDescent="0.2">
      <c r="BF2671" s="86" t="e">
        <f t="shared" si="115"/>
        <v>#NUM!</v>
      </c>
    </row>
    <row r="2672" spans="58:58" x14ac:dyDescent="0.2">
      <c r="BF2672" s="86" t="e">
        <f t="shared" si="115"/>
        <v>#NUM!</v>
      </c>
    </row>
    <row r="2673" spans="58:58" x14ac:dyDescent="0.2">
      <c r="BF2673" s="86" t="e">
        <f t="shared" si="115"/>
        <v>#NUM!</v>
      </c>
    </row>
    <row r="2674" spans="58:58" x14ac:dyDescent="0.2">
      <c r="BF2674" s="86" t="e">
        <f t="shared" si="115"/>
        <v>#NUM!</v>
      </c>
    </row>
    <row r="2675" spans="58:58" x14ac:dyDescent="0.2">
      <c r="BF2675" s="86" t="e">
        <f t="shared" si="115"/>
        <v>#NUM!</v>
      </c>
    </row>
    <row r="2676" spans="58:58" x14ac:dyDescent="0.2">
      <c r="BF2676" s="86" t="e">
        <f t="shared" si="115"/>
        <v>#NUM!</v>
      </c>
    </row>
    <row r="2677" spans="58:58" x14ac:dyDescent="0.2">
      <c r="BF2677" s="86" t="e">
        <f t="shared" si="115"/>
        <v>#NUM!</v>
      </c>
    </row>
    <row r="2678" spans="58:58" x14ac:dyDescent="0.2">
      <c r="BF2678" s="86" t="e">
        <f t="shared" si="115"/>
        <v>#NUM!</v>
      </c>
    </row>
    <row r="2679" spans="58:58" x14ac:dyDescent="0.2">
      <c r="BF2679" s="86" t="e">
        <f t="shared" si="115"/>
        <v>#NUM!</v>
      </c>
    </row>
    <row r="2680" spans="58:58" x14ac:dyDescent="0.2">
      <c r="BF2680" s="86" t="e">
        <f t="shared" si="115"/>
        <v>#NUM!</v>
      </c>
    </row>
    <row r="2681" spans="58:58" x14ac:dyDescent="0.2">
      <c r="BF2681" s="86" t="e">
        <f t="shared" si="115"/>
        <v>#NUM!</v>
      </c>
    </row>
    <row r="2682" spans="58:58" x14ac:dyDescent="0.2">
      <c r="BF2682" s="86" t="e">
        <f t="shared" si="115"/>
        <v>#NUM!</v>
      </c>
    </row>
    <row r="2683" spans="58:58" x14ac:dyDescent="0.2">
      <c r="BF2683" s="86" t="e">
        <f t="shared" si="115"/>
        <v>#NUM!</v>
      </c>
    </row>
    <row r="2684" spans="58:58" x14ac:dyDescent="0.2">
      <c r="BF2684" s="86" t="e">
        <f t="shared" si="115"/>
        <v>#NUM!</v>
      </c>
    </row>
    <row r="2685" spans="58:58" x14ac:dyDescent="0.2">
      <c r="BF2685" s="86" t="e">
        <f t="shared" si="115"/>
        <v>#NUM!</v>
      </c>
    </row>
    <row r="2686" spans="58:58" x14ac:dyDescent="0.2">
      <c r="BF2686" s="86" t="e">
        <f t="shared" si="115"/>
        <v>#NUM!</v>
      </c>
    </row>
    <row r="2687" spans="58:58" x14ac:dyDescent="0.2">
      <c r="BF2687" s="86" t="e">
        <f t="shared" si="115"/>
        <v>#NUM!</v>
      </c>
    </row>
    <row r="2688" spans="58:58" x14ac:dyDescent="0.2">
      <c r="BF2688" s="86" t="e">
        <f t="shared" si="115"/>
        <v>#NUM!</v>
      </c>
    </row>
    <row r="2689" spans="58:58" x14ac:dyDescent="0.2">
      <c r="BF2689" s="86" t="e">
        <f t="shared" si="115"/>
        <v>#NUM!</v>
      </c>
    </row>
    <row r="2690" spans="58:58" x14ac:dyDescent="0.2">
      <c r="BF2690" s="86" t="e">
        <f t="shared" si="115"/>
        <v>#NUM!</v>
      </c>
    </row>
    <row r="2691" spans="58:58" x14ac:dyDescent="0.2">
      <c r="BF2691" s="86" t="e">
        <f t="shared" si="115"/>
        <v>#NUM!</v>
      </c>
    </row>
    <row r="2692" spans="58:58" x14ac:dyDescent="0.2">
      <c r="BF2692" s="86" t="e">
        <f t="shared" si="115"/>
        <v>#NUM!</v>
      </c>
    </row>
    <row r="2693" spans="58:58" x14ac:dyDescent="0.2">
      <c r="BF2693" s="86" t="e">
        <f t="shared" si="115"/>
        <v>#NUM!</v>
      </c>
    </row>
    <row r="2694" spans="58:58" x14ac:dyDescent="0.2">
      <c r="BF2694" s="86" t="e">
        <f t="shared" si="115"/>
        <v>#NUM!</v>
      </c>
    </row>
    <row r="2695" spans="58:58" x14ac:dyDescent="0.2">
      <c r="BF2695" s="86" t="e">
        <f t="shared" si="115"/>
        <v>#NUM!</v>
      </c>
    </row>
    <row r="2696" spans="58:58" x14ac:dyDescent="0.2">
      <c r="BF2696" s="86" t="e">
        <f t="shared" si="115"/>
        <v>#NUM!</v>
      </c>
    </row>
    <row r="2697" spans="58:58" x14ac:dyDescent="0.2">
      <c r="BF2697" s="86" t="e">
        <f t="shared" si="115"/>
        <v>#NUM!</v>
      </c>
    </row>
    <row r="2698" spans="58:58" x14ac:dyDescent="0.2">
      <c r="BF2698" s="86" t="e">
        <f t="shared" si="115"/>
        <v>#NUM!</v>
      </c>
    </row>
    <row r="2699" spans="58:58" x14ac:dyDescent="0.2">
      <c r="BF2699" s="86" t="e">
        <f t="shared" si="115"/>
        <v>#NUM!</v>
      </c>
    </row>
    <row r="2700" spans="58:58" x14ac:dyDescent="0.2">
      <c r="BF2700" s="86" t="e">
        <f t="shared" si="115"/>
        <v>#NUM!</v>
      </c>
    </row>
    <row r="2701" spans="58:58" x14ac:dyDescent="0.2">
      <c r="BF2701" s="86" t="e">
        <f t="shared" si="115"/>
        <v>#NUM!</v>
      </c>
    </row>
    <row r="2702" spans="58:58" x14ac:dyDescent="0.2">
      <c r="BF2702" s="86" t="e">
        <f t="shared" si="115"/>
        <v>#NUM!</v>
      </c>
    </row>
    <row r="2703" spans="58:58" x14ac:dyDescent="0.2">
      <c r="BF2703" s="86" t="e">
        <f t="shared" si="115"/>
        <v>#NUM!</v>
      </c>
    </row>
    <row r="2704" spans="58:58" x14ac:dyDescent="0.2">
      <c r="BF2704" s="86" t="e">
        <f t="shared" si="115"/>
        <v>#NUM!</v>
      </c>
    </row>
    <row r="2705" spans="58:58" x14ac:dyDescent="0.2">
      <c r="BF2705" s="86" t="e">
        <f t="shared" si="115"/>
        <v>#NUM!</v>
      </c>
    </row>
    <row r="2706" spans="58:58" x14ac:dyDescent="0.2">
      <c r="BF2706" s="86" t="e">
        <f t="shared" si="115"/>
        <v>#NUM!</v>
      </c>
    </row>
    <row r="2707" spans="58:58" x14ac:dyDescent="0.2">
      <c r="BF2707" s="86" t="e">
        <f t="shared" si="115"/>
        <v>#NUM!</v>
      </c>
    </row>
    <row r="2708" spans="58:58" x14ac:dyDescent="0.2">
      <c r="BF2708" s="86" t="e">
        <f t="shared" si="115"/>
        <v>#NUM!</v>
      </c>
    </row>
    <row r="2709" spans="58:58" x14ac:dyDescent="0.2">
      <c r="BF2709" s="86" t="e">
        <f t="shared" si="115"/>
        <v>#NUM!</v>
      </c>
    </row>
    <row r="2710" spans="58:58" x14ac:dyDescent="0.2">
      <c r="BF2710" s="86" t="e">
        <f t="shared" si="115"/>
        <v>#NUM!</v>
      </c>
    </row>
    <row r="2711" spans="58:58" x14ac:dyDescent="0.2">
      <c r="BF2711" s="86" t="e">
        <f t="shared" si="115"/>
        <v>#NUM!</v>
      </c>
    </row>
    <row r="2712" spans="58:58" x14ac:dyDescent="0.2">
      <c r="BF2712" s="86" t="e">
        <f t="shared" si="115"/>
        <v>#NUM!</v>
      </c>
    </row>
    <row r="2713" spans="58:58" x14ac:dyDescent="0.2">
      <c r="BF2713" s="86" t="e">
        <f t="shared" si="115"/>
        <v>#NUM!</v>
      </c>
    </row>
    <row r="2714" spans="58:58" x14ac:dyDescent="0.2">
      <c r="BF2714" s="86" t="e">
        <f t="shared" si="115"/>
        <v>#NUM!</v>
      </c>
    </row>
    <row r="2715" spans="58:58" x14ac:dyDescent="0.2">
      <c r="BF2715" s="86" t="e">
        <f t="shared" si="115"/>
        <v>#NUM!</v>
      </c>
    </row>
    <row r="2716" spans="58:58" x14ac:dyDescent="0.2">
      <c r="BF2716" s="86" t="e">
        <f t="shared" si="115"/>
        <v>#NUM!</v>
      </c>
    </row>
    <row r="2717" spans="58:58" x14ac:dyDescent="0.2">
      <c r="BF2717" s="86" t="e">
        <f t="shared" si="115"/>
        <v>#NUM!</v>
      </c>
    </row>
    <row r="2718" spans="58:58" x14ac:dyDescent="0.2">
      <c r="BF2718" s="86" t="e">
        <f t="shared" si="115"/>
        <v>#NUM!</v>
      </c>
    </row>
    <row r="2719" spans="58:58" x14ac:dyDescent="0.2">
      <c r="BF2719" s="86" t="e">
        <f t="shared" si="115"/>
        <v>#NUM!</v>
      </c>
    </row>
    <row r="2720" spans="58:58" x14ac:dyDescent="0.2">
      <c r="BF2720" s="86" t="e">
        <f t="shared" si="115"/>
        <v>#NUM!</v>
      </c>
    </row>
    <row r="2721" spans="58:58" x14ac:dyDescent="0.2">
      <c r="BF2721" s="86" t="e">
        <f t="shared" si="115"/>
        <v>#NUM!</v>
      </c>
    </row>
    <row r="2722" spans="58:58" x14ac:dyDescent="0.2">
      <c r="BF2722" s="86" t="e">
        <f t="shared" si="115"/>
        <v>#NUM!</v>
      </c>
    </row>
    <row r="2723" spans="58:58" x14ac:dyDescent="0.2">
      <c r="BF2723" s="86" t="e">
        <f t="shared" si="115"/>
        <v>#NUM!</v>
      </c>
    </row>
    <row r="2724" spans="58:58" x14ac:dyDescent="0.2">
      <c r="BF2724" s="86" t="e">
        <f t="shared" si="115"/>
        <v>#NUM!</v>
      </c>
    </row>
    <row r="2725" spans="58:58" x14ac:dyDescent="0.2">
      <c r="BF2725" s="86" t="e">
        <f t="shared" si="115"/>
        <v>#NUM!</v>
      </c>
    </row>
    <row r="2726" spans="58:58" x14ac:dyDescent="0.2">
      <c r="BF2726" s="86" t="e">
        <f t="shared" ref="BF2726:BF2789" si="116">MEDIAN(BH2726:BU2726)</f>
        <v>#NUM!</v>
      </c>
    </row>
    <row r="2727" spans="58:58" x14ac:dyDescent="0.2">
      <c r="BF2727" s="86" t="e">
        <f t="shared" si="116"/>
        <v>#NUM!</v>
      </c>
    </row>
    <row r="2728" spans="58:58" x14ac:dyDescent="0.2">
      <c r="BF2728" s="86" t="e">
        <f t="shared" si="116"/>
        <v>#NUM!</v>
      </c>
    </row>
    <row r="2729" spans="58:58" x14ac:dyDescent="0.2">
      <c r="BF2729" s="86" t="e">
        <f t="shared" si="116"/>
        <v>#NUM!</v>
      </c>
    </row>
    <row r="2730" spans="58:58" x14ac:dyDescent="0.2">
      <c r="BF2730" s="86" t="e">
        <f t="shared" si="116"/>
        <v>#NUM!</v>
      </c>
    </row>
    <row r="2731" spans="58:58" x14ac:dyDescent="0.2">
      <c r="BF2731" s="86" t="e">
        <f t="shared" si="116"/>
        <v>#NUM!</v>
      </c>
    </row>
    <row r="2732" spans="58:58" x14ac:dyDescent="0.2">
      <c r="BF2732" s="86" t="e">
        <f t="shared" si="116"/>
        <v>#NUM!</v>
      </c>
    </row>
    <row r="2733" spans="58:58" x14ac:dyDescent="0.2">
      <c r="BF2733" s="86" t="e">
        <f t="shared" si="116"/>
        <v>#NUM!</v>
      </c>
    </row>
    <row r="2734" spans="58:58" x14ac:dyDescent="0.2">
      <c r="BF2734" s="86" t="e">
        <f t="shared" si="116"/>
        <v>#NUM!</v>
      </c>
    </row>
    <row r="2735" spans="58:58" x14ac:dyDescent="0.2">
      <c r="BF2735" s="86" t="e">
        <f t="shared" si="116"/>
        <v>#NUM!</v>
      </c>
    </row>
    <row r="2736" spans="58:58" x14ac:dyDescent="0.2">
      <c r="BF2736" s="86" t="e">
        <f t="shared" si="116"/>
        <v>#NUM!</v>
      </c>
    </row>
    <row r="2737" spans="58:58" x14ac:dyDescent="0.2">
      <c r="BF2737" s="86" t="e">
        <f t="shared" si="116"/>
        <v>#NUM!</v>
      </c>
    </row>
    <row r="2738" spans="58:58" x14ac:dyDescent="0.2">
      <c r="BF2738" s="86" t="e">
        <f t="shared" si="116"/>
        <v>#NUM!</v>
      </c>
    </row>
    <row r="2739" spans="58:58" x14ac:dyDescent="0.2">
      <c r="BF2739" s="86" t="e">
        <f t="shared" si="116"/>
        <v>#NUM!</v>
      </c>
    </row>
    <row r="2740" spans="58:58" x14ac:dyDescent="0.2">
      <c r="BF2740" s="86" t="e">
        <f t="shared" si="116"/>
        <v>#NUM!</v>
      </c>
    </row>
    <row r="2741" spans="58:58" x14ac:dyDescent="0.2">
      <c r="BF2741" s="86" t="e">
        <f t="shared" si="116"/>
        <v>#NUM!</v>
      </c>
    </row>
    <row r="2742" spans="58:58" x14ac:dyDescent="0.2">
      <c r="BF2742" s="86" t="e">
        <f t="shared" si="116"/>
        <v>#NUM!</v>
      </c>
    </row>
    <row r="2743" spans="58:58" x14ac:dyDescent="0.2">
      <c r="BF2743" s="86" t="e">
        <f t="shared" si="116"/>
        <v>#NUM!</v>
      </c>
    </row>
    <row r="2744" spans="58:58" x14ac:dyDescent="0.2">
      <c r="BF2744" s="86" t="e">
        <f t="shared" si="116"/>
        <v>#NUM!</v>
      </c>
    </row>
    <row r="2745" spans="58:58" x14ac:dyDescent="0.2">
      <c r="BF2745" s="86" t="e">
        <f t="shared" si="116"/>
        <v>#NUM!</v>
      </c>
    </row>
    <row r="2746" spans="58:58" x14ac:dyDescent="0.2">
      <c r="BF2746" s="86" t="e">
        <f t="shared" si="116"/>
        <v>#NUM!</v>
      </c>
    </row>
    <row r="2747" spans="58:58" x14ac:dyDescent="0.2">
      <c r="BF2747" s="86" t="e">
        <f t="shared" si="116"/>
        <v>#NUM!</v>
      </c>
    </row>
    <row r="2748" spans="58:58" x14ac:dyDescent="0.2">
      <c r="BF2748" s="86" t="e">
        <f t="shared" si="116"/>
        <v>#NUM!</v>
      </c>
    </row>
    <row r="2749" spans="58:58" x14ac:dyDescent="0.2">
      <c r="BF2749" s="86" t="e">
        <f t="shared" si="116"/>
        <v>#NUM!</v>
      </c>
    </row>
    <row r="2750" spans="58:58" x14ac:dyDescent="0.2">
      <c r="BF2750" s="86" t="e">
        <f t="shared" si="116"/>
        <v>#NUM!</v>
      </c>
    </row>
    <row r="2751" spans="58:58" x14ac:dyDescent="0.2">
      <c r="BF2751" s="86" t="e">
        <f t="shared" si="116"/>
        <v>#NUM!</v>
      </c>
    </row>
    <row r="2752" spans="58:58" x14ac:dyDescent="0.2">
      <c r="BF2752" s="86" t="e">
        <f t="shared" si="116"/>
        <v>#NUM!</v>
      </c>
    </row>
    <row r="2753" spans="58:58" x14ac:dyDescent="0.2">
      <c r="BF2753" s="86" t="e">
        <f t="shared" si="116"/>
        <v>#NUM!</v>
      </c>
    </row>
    <row r="2754" spans="58:58" x14ac:dyDescent="0.2">
      <c r="BF2754" s="86" t="e">
        <f t="shared" si="116"/>
        <v>#NUM!</v>
      </c>
    </row>
    <row r="2755" spans="58:58" x14ac:dyDescent="0.2">
      <c r="BF2755" s="86" t="e">
        <f t="shared" si="116"/>
        <v>#NUM!</v>
      </c>
    </row>
    <row r="2756" spans="58:58" x14ac:dyDescent="0.2">
      <c r="BF2756" s="86" t="e">
        <f t="shared" si="116"/>
        <v>#NUM!</v>
      </c>
    </row>
    <row r="2757" spans="58:58" x14ac:dyDescent="0.2">
      <c r="BF2757" s="86" t="e">
        <f t="shared" si="116"/>
        <v>#NUM!</v>
      </c>
    </row>
    <row r="2758" spans="58:58" x14ac:dyDescent="0.2">
      <c r="BF2758" s="86" t="e">
        <f t="shared" si="116"/>
        <v>#NUM!</v>
      </c>
    </row>
    <row r="2759" spans="58:58" x14ac:dyDescent="0.2">
      <c r="BF2759" s="86" t="e">
        <f t="shared" si="116"/>
        <v>#NUM!</v>
      </c>
    </row>
    <row r="2760" spans="58:58" x14ac:dyDescent="0.2">
      <c r="BF2760" s="86" t="e">
        <f t="shared" si="116"/>
        <v>#NUM!</v>
      </c>
    </row>
    <row r="2761" spans="58:58" x14ac:dyDescent="0.2">
      <c r="BF2761" s="86" t="e">
        <f t="shared" si="116"/>
        <v>#NUM!</v>
      </c>
    </row>
    <row r="2762" spans="58:58" x14ac:dyDescent="0.2">
      <c r="BF2762" s="86" t="e">
        <f t="shared" si="116"/>
        <v>#NUM!</v>
      </c>
    </row>
    <row r="2763" spans="58:58" x14ac:dyDescent="0.2">
      <c r="BF2763" s="86" t="e">
        <f t="shared" si="116"/>
        <v>#NUM!</v>
      </c>
    </row>
    <row r="2764" spans="58:58" x14ac:dyDescent="0.2">
      <c r="BF2764" s="86" t="e">
        <f t="shared" si="116"/>
        <v>#NUM!</v>
      </c>
    </row>
    <row r="2765" spans="58:58" x14ac:dyDescent="0.2">
      <c r="BF2765" s="86" t="e">
        <f t="shared" si="116"/>
        <v>#NUM!</v>
      </c>
    </row>
    <row r="2766" spans="58:58" x14ac:dyDescent="0.2">
      <c r="BF2766" s="86" t="e">
        <f t="shared" si="116"/>
        <v>#NUM!</v>
      </c>
    </row>
    <row r="2767" spans="58:58" x14ac:dyDescent="0.2">
      <c r="BF2767" s="86" t="e">
        <f t="shared" si="116"/>
        <v>#NUM!</v>
      </c>
    </row>
    <row r="2768" spans="58:58" x14ac:dyDescent="0.2">
      <c r="BF2768" s="86" t="e">
        <f t="shared" si="116"/>
        <v>#NUM!</v>
      </c>
    </row>
    <row r="2769" spans="58:58" x14ac:dyDescent="0.2">
      <c r="BF2769" s="86" t="e">
        <f t="shared" si="116"/>
        <v>#NUM!</v>
      </c>
    </row>
    <row r="2770" spans="58:58" x14ac:dyDescent="0.2">
      <c r="BF2770" s="86" t="e">
        <f t="shared" si="116"/>
        <v>#NUM!</v>
      </c>
    </row>
    <row r="2771" spans="58:58" x14ac:dyDescent="0.2">
      <c r="BF2771" s="86" t="e">
        <f t="shared" si="116"/>
        <v>#NUM!</v>
      </c>
    </row>
    <row r="2772" spans="58:58" x14ac:dyDescent="0.2">
      <c r="BF2772" s="86" t="e">
        <f t="shared" si="116"/>
        <v>#NUM!</v>
      </c>
    </row>
    <row r="2773" spans="58:58" x14ac:dyDescent="0.2">
      <c r="BF2773" s="86" t="e">
        <f t="shared" si="116"/>
        <v>#NUM!</v>
      </c>
    </row>
    <row r="2774" spans="58:58" x14ac:dyDescent="0.2">
      <c r="BF2774" s="86" t="e">
        <f t="shared" si="116"/>
        <v>#NUM!</v>
      </c>
    </row>
    <row r="2775" spans="58:58" x14ac:dyDescent="0.2">
      <c r="BF2775" s="86" t="e">
        <f t="shared" si="116"/>
        <v>#NUM!</v>
      </c>
    </row>
    <row r="2776" spans="58:58" x14ac:dyDescent="0.2">
      <c r="BF2776" s="86" t="e">
        <f t="shared" si="116"/>
        <v>#NUM!</v>
      </c>
    </row>
    <row r="2777" spans="58:58" x14ac:dyDescent="0.2">
      <c r="BF2777" s="86" t="e">
        <f t="shared" si="116"/>
        <v>#NUM!</v>
      </c>
    </row>
    <row r="2778" spans="58:58" x14ac:dyDescent="0.2">
      <c r="BF2778" s="86" t="e">
        <f t="shared" si="116"/>
        <v>#NUM!</v>
      </c>
    </row>
    <row r="2779" spans="58:58" x14ac:dyDescent="0.2">
      <c r="BF2779" s="86" t="e">
        <f t="shared" si="116"/>
        <v>#NUM!</v>
      </c>
    </row>
    <row r="2780" spans="58:58" x14ac:dyDescent="0.2">
      <c r="BF2780" s="86" t="e">
        <f t="shared" si="116"/>
        <v>#NUM!</v>
      </c>
    </row>
    <row r="2781" spans="58:58" x14ac:dyDescent="0.2">
      <c r="BF2781" s="86" t="e">
        <f t="shared" si="116"/>
        <v>#NUM!</v>
      </c>
    </row>
    <row r="2782" spans="58:58" x14ac:dyDescent="0.2">
      <c r="BF2782" s="86" t="e">
        <f t="shared" si="116"/>
        <v>#NUM!</v>
      </c>
    </row>
    <row r="2783" spans="58:58" x14ac:dyDescent="0.2">
      <c r="BF2783" s="86" t="e">
        <f t="shared" si="116"/>
        <v>#NUM!</v>
      </c>
    </row>
    <row r="2784" spans="58:58" x14ac:dyDescent="0.2">
      <c r="BF2784" s="86" t="e">
        <f t="shared" si="116"/>
        <v>#NUM!</v>
      </c>
    </row>
    <row r="2785" spans="58:58" x14ac:dyDescent="0.2">
      <c r="BF2785" s="86" t="e">
        <f t="shared" si="116"/>
        <v>#NUM!</v>
      </c>
    </row>
    <row r="2786" spans="58:58" x14ac:dyDescent="0.2">
      <c r="BF2786" s="86" t="e">
        <f t="shared" si="116"/>
        <v>#NUM!</v>
      </c>
    </row>
    <row r="2787" spans="58:58" x14ac:dyDescent="0.2">
      <c r="BF2787" s="86" t="e">
        <f t="shared" si="116"/>
        <v>#NUM!</v>
      </c>
    </row>
    <row r="2788" spans="58:58" x14ac:dyDescent="0.2">
      <c r="BF2788" s="86" t="e">
        <f t="shared" si="116"/>
        <v>#NUM!</v>
      </c>
    </row>
    <row r="2789" spans="58:58" x14ac:dyDescent="0.2">
      <c r="BF2789" s="86" t="e">
        <f t="shared" si="116"/>
        <v>#NUM!</v>
      </c>
    </row>
    <row r="2790" spans="58:58" x14ac:dyDescent="0.2">
      <c r="BF2790" s="86" t="e">
        <f t="shared" ref="BF2790:BF2853" si="117">MEDIAN(BH2790:BU2790)</f>
        <v>#NUM!</v>
      </c>
    </row>
    <row r="2791" spans="58:58" x14ac:dyDescent="0.2">
      <c r="BF2791" s="86" t="e">
        <f t="shared" si="117"/>
        <v>#NUM!</v>
      </c>
    </row>
    <row r="2792" spans="58:58" x14ac:dyDescent="0.2">
      <c r="BF2792" s="86" t="e">
        <f t="shared" si="117"/>
        <v>#NUM!</v>
      </c>
    </row>
    <row r="2793" spans="58:58" x14ac:dyDescent="0.2">
      <c r="BF2793" s="86" t="e">
        <f t="shared" si="117"/>
        <v>#NUM!</v>
      </c>
    </row>
    <row r="2794" spans="58:58" x14ac:dyDescent="0.2">
      <c r="BF2794" s="86" t="e">
        <f t="shared" si="117"/>
        <v>#NUM!</v>
      </c>
    </row>
    <row r="2795" spans="58:58" x14ac:dyDescent="0.2">
      <c r="BF2795" s="86" t="e">
        <f t="shared" si="117"/>
        <v>#NUM!</v>
      </c>
    </row>
    <row r="2796" spans="58:58" x14ac:dyDescent="0.2">
      <c r="BF2796" s="86" t="e">
        <f t="shared" si="117"/>
        <v>#NUM!</v>
      </c>
    </row>
    <row r="2797" spans="58:58" x14ac:dyDescent="0.2">
      <c r="BF2797" s="86" t="e">
        <f t="shared" si="117"/>
        <v>#NUM!</v>
      </c>
    </row>
    <row r="2798" spans="58:58" x14ac:dyDescent="0.2">
      <c r="BF2798" s="86" t="e">
        <f t="shared" si="117"/>
        <v>#NUM!</v>
      </c>
    </row>
    <row r="2799" spans="58:58" x14ac:dyDescent="0.2">
      <c r="BF2799" s="86" t="e">
        <f t="shared" si="117"/>
        <v>#NUM!</v>
      </c>
    </row>
    <row r="2800" spans="58:58" x14ac:dyDescent="0.2">
      <c r="BF2800" s="86" t="e">
        <f t="shared" si="117"/>
        <v>#NUM!</v>
      </c>
    </row>
    <row r="2801" spans="58:58" x14ac:dyDescent="0.2">
      <c r="BF2801" s="86" t="e">
        <f t="shared" si="117"/>
        <v>#NUM!</v>
      </c>
    </row>
    <row r="2802" spans="58:58" x14ac:dyDescent="0.2">
      <c r="BF2802" s="86" t="e">
        <f t="shared" si="117"/>
        <v>#NUM!</v>
      </c>
    </row>
    <row r="2803" spans="58:58" x14ac:dyDescent="0.2">
      <c r="BF2803" s="86" t="e">
        <f t="shared" si="117"/>
        <v>#NUM!</v>
      </c>
    </row>
    <row r="2804" spans="58:58" x14ac:dyDescent="0.2">
      <c r="BF2804" s="86" t="e">
        <f t="shared" si="117"/>
        <v>#NUM!</v>
      </c>
    </row>
    <row r="2805" spans="58:58" x14ac:dyDescent="0.2">
      <c r="BF2805" s="86" t="e">
        <f t="shared" si="117"/>
        <v>#NUM!</v>
      </c>
    </row>
    <row r="2806" spans="58:58" x14ac:dyDescent="0.2">
      <c r="BF2806" s="86" t="e">
        <f t="shared" si="117"/>
        <v>#NUM!</v>
      </c>
    </row>
    <row r="2807" spans="58:58" x14ac:dyDescent="0.2">
      <c r="BF2807" s="86" t="e">
        <f t="shared" si="117"/>
        <v>#NUM!</v>
      </c>
    </row>
    <row r="2808" spans="58:58" x14ac:dyDescent="0.2">
      <c r="BF2808" s="86" t="e">
        <f t="shared" si="117"/>
        <v>#NUM!</v>
      </c>
    </row>
    <row r="2809" spans="58:58" x14ac:dyDescent="0.2">
      <c r="BF2809" s="86" t="e">
        <f t="shared" si="117"/>
        <v>#NUM!</v>
      </c>
    </row>
    <row r="2810" spans="58:58" x14ac:dyDescent="0.2">
      <c r="BF2810" s="86" t="e">
        <f t="shared" si="117"/>
        <v>#NUM!</v>
      </c>
    </row>
    <row r="2811" spans="58:58" x14ac:dyDescent="0.2">
      <c r="BF2811" s="86" t="e">
        <f t="shared" si="117"/>
        <v>#NUM!</v>
      </c>
    </row>
    <row r="2812" spans="58:58" x14ac:dyDescent="0.2">
      <c r="BF2812" s="86" t="e">
        <f t="shared" si="117"/>
        <v>#NUM!</v>
      </c>
    </row>
    <row r="2813" spans="58:58" x14ac:dyDescent="0.2">
      <c r="BF2813" s="86" t="e">
        <f t="shared" si="117"/>
        <v>#NUM!</v>
      </c>
    </row>
    <row r="2814" spans="58:58" x14ac:dyDescent="0.2">
      <c r="BF2814" s="86" t="e">
        <f t="shared" si="117"/>
        <v>#NUM!</v>
      </c>
    </row>
    <row r="2815" spans="58:58" x14ac:dyDescent="0.2">
      <c r="BF2815" s="86" t="e">
        <f t="shared" si="117"/>
        <v>#NUM!</v>
      </c>
    </row>
    <row r="2816" spans="58:58" x14ac:dyDescent="0.2">
      <c r="BF2816" s="86" t="e">
        <f t="shared" si="117"/>
        <v>#NUM!</v>
      </c>
    </row>
    <row r="2817" spans="58:58" x14ac:dyDescent="0.2">
      <c r="BF2817" s="86" t="e">
        <f t="shared" si="117"/>
        <v>#NUM!</v>
      </c>
    </row>
    <row r="2818" spans="58:58" x14ac:dyDescent="0.2">
      <c r="BF2818" s="86" t="e">
        <f t="shared" si="117"/>
        <v>#NUM!</v>
      </c>
    </row>
    <row r="2819" spans="58:58" x14ac:dyDescent="0.2">
      <c r="BF2819" s="86" t="e">
        <f t="shared" si="117"/>
        <v>#NUM!</v>
      </c>
    </row>
    <row r="2820" spans="58:58" x14ac:dyDescent="0.2">
      <c r="BF2820" s="86" t="e">
        <f t="shared" si="117"/>
        <v>#NUM!</v>
      </c>
    </row>
    <row r="2821" spans="58:58" x14ac:dyDescent="0.2">
      <c r="BF2821" s="86" t="e">
        <f t="shared" si="117"/>
        <v>#NUM!</v>
      </c>
    </row>
    <row r="2822" spans="58:58" x14ac:dyDescent="0.2">
      <c r="BF2822" s="86" t="e">
        <f t="shared" si="117"/>
        <v>#NUM!</v>
      </c>
    </row>
    <row r="2823" spans="58:58" x14ac:dyDescent="0.2">
      <c r="BF2823" s="86" t="e">
        <f t="shared" si="117"/>
        <v>#NUM!</v>
      </c>
    </row>
    <row r="2824" spans="58:58" x14ac:dyDescent="0.2">
      <c r="BF2824" s="86" t="e">
        <f t="shared" si="117"/>
        <v>#NUM!</v>
      </c>
    </row>
    <row r="2825" spans="58:58" x14ac:dyDescent="0.2">
      <c r="BF2825" s="86" t="e">
        <f t="shared" si="117"/>
        <v>#NUM!</v>
      </c>
    </row>
    <row r="2826" spans="58:58" x14ac:dyDescent="0.2">
      <c r="BF2826" s="86" t="e">
        <f t="shared" si="117"/>
        <v>#NUM!</v>
      </c>
    </row>
    <row r="2827" spans="58:58" x14ac:dyDescent="0.2">
      <c r="BF2827" s="86" t="e">
        <f t="shared" si="117"/>
        <v>#NUM!</v>
      </c>
    </row>
    <row r="2828" spans="58:58" x14ac:dyDescent="0.2">
      <c r="BF2828" s="86" t="e">
        <f t="shared" si="117"/>
        <v>#NUM!</v>
      </c>
    </row>
    <row r="2829" spans="58:58" x14ac:dyDescent="0.2">
      <c r="BF2829" s="86" t="e">
        <f t="shared" si="117"/>
        <v>#NUM!</v>
      </c>
    </row>
    <row r="2830" spans="58:58" x14ac:dyDescent="0.2">
      <c r="BF2830" s="86" t="e">
        <f t="shared" si="117"/>
        <v>#NUM!</v>
      </c>
    </row>
    <row r="2831" spans="58:58" x14ac:dyDescent="0.2">
      <c r="BF2831" s="86" t="e">
        <f t="shared" si="117"/>
        <v>#NUM!</v>
      </c>
    </row>
    <row r="2832" spans="58:58" x14ac:dyDescent="0.2">
      <c r="BF2832" s="86" t="e">
        <f t="shared" si="117"/>
        <v>#NUM!</v>
      </c>
    </row>
    <row r="2833" spans="58:58" x14ac:dyDescent="0.2">
      <c r="BF2833" s="86" t="e">
        <f t="shared" si="117"/>
        <v>#NUM!</v>
      </c>
    </row>
    <row r="2834" spans="58:58" x14ac:dyDescent="0.2">
      <c r="BF2834" s="86" t="e">
        <f t="shared" si="117"/>
        <v>#NUM!</v>
      </c>
    </row>
    <row r="2835" spans="58:58" x14ac:dyDescent="0.2">
      <c r="BF2835" s="86" t="e">
        <f t="shared" si="117"/>
        <v>#NUM!</v>
      </c>
    </row>
    <row r="2836" spans="58:58" x14ac:dyDescent="0.2">
      <c r="BF2836" s="86" t="e">
        <f t="shared" si="117"/>
        <v>#NUM!</v>
      </c>
    </row>
    <row r="2837" spans="58:58" x14ac:dyDescent="0.2">
      <c r="BF2837" s="86" t="e">
        <f t="shared" si="117"/>
        <v>#NUM!</v>
      </c>
    </row>
    <row r="2838" spans="58:58" x14ac:dyDescent="0.2">
      <c r="BF2838" s="86" t="e">
        <f t="shared" si="117"/>
        <v>#NUM!</v>
      </c>
    </row>
    <row r="2839" spans="58:58" x14ac:dyDescent="0.2">
      <c r="BF2839" s="86" t="e">
        <f t="shared" si="117"/>
        <v>#NUM!</v>
      </c>
    </row>
    <row r="2840" spans="58:58" x14ac:dyDescent="0.2">
      <c r="BF2840" s="86" t="e">
        <f t="shared" si="117"/>
        <v>#NUM!</v>
      </c>
    </row>
    <row r="2841" spans="58:58" x14ac:dyDescent="0.2">
      <c r="BF2841" s="86" t="e">
        <f t="shared" si="117"/>
        <v>#NUM!</v>
      </c>
    </row>
    <row r="2842" spans="58:58" x14ac:dyDescent="0.2">
      <c r="BF2842" s="86" t="e">
        <f t="shared" si="117"/>
        <v>#NUM!</v>
      </c>
    </row>
    <row r="2843" spans="58:58" x14ac:dyDescent="0.2">
      <c r="BF2843" s="86" t="e">
        <f t="shared" si="117"/>
        <v>#NUM!</v>
      </c>
    </row>
    <row r="2844" spans="58:58" x14ac:dyDescent="0.2">
      <c r="BF2844" s="86" t="e">
        <f t="shared" si="117"/>
        <v>#NUM!</v>
      </c>
    </row>
    <row r="2845" spans="58:58" x14ac:dyDescent="0.2">
      <c r="BF2845" s="86" t="e">
        <f t="shared" si="117"/>
        <v>#NUM!</v>
      </c>
    </row>
    <row r="2846" spans="58:58" x14ac:dyDescent="0.2">
      <c r="BF2846" s="86" t="e">
        <f t="shared" si="117"/>
        <v>#NUM!</v>
      </c>
    </row>
    <row r="2847" spans="58:58" x14ac:dyDescent="0.2">
      <c r="BF2847" s="86" t="e">
        <f t="shared" si="117"/>
        <v>#NUM!</v>
      </c>
    </row>
    <row r="2848" spans="58:58" x14ac:dyDescent="0.2">
      <c r="BF2848" s="86" t="e">
        <f t="shared" si="117"/>
        <v>#NUM!</v>
      </c>
    </row>
    <row r="2849" spans="58:58" x14ac:dyDescent="0.2">
      <c r="BF2849" s="86" t="e">
        <f t="shared" si="117"/>
        <v>#NUM!</v>
      </c>
    </row>
    <row r="2850" spans="58:58" x14ac:dyDescent="0.2">
      <c r="BF2850" s="86" t="e">
        <f t="shared" si="117"/>
        <v>#NUM!</v>
      </c>
    </row>
    <row r="2851" spans="58:58" x14ac:dyDescent="0.2">
      <c r="BF2851" s="86" t="e">
        <f t="shared" si="117"/>
        <v>#NUM!</v>
      </c>
    </row>
    <row r="2852" spans="58:58" x14ac:dyDescent="0.2">
      <c r="BF2852" s="86" t="e">
        <f t="shared" si="117"/>
        <v>#NUM!</v>
      </c>
    </row>
    <row r="2853" spans="58:58" x14ac:dyDescent="0.2">
      <c r="BF2853" s="86" t="e">
        <f t="shared" si="117"/>
        <v>#NUM!</v>
      </c>
    </row>
    <row r="2854" spans="58:58" x14ac:dyDescent="0.2">
      <c r="BF2854" s="86" t="e">
        <f t="shared" ref="BF2854:BF2884" si="118">MEDIAN(BH2854:BU2854)</f>
        <v>#NUM!</v>
      </c>
    </row>
    <row r="2855" spans="58:58" x14ac:dyDescent="0.2">
      <c r="BF2855" s="86" t="e">
        <f t="shared" si="118"/>
        <v>#NUM!</v>
      </c>
    </row>
    <row r="2856" spans="58:58" x14ac:dyDescent="0.2">
      <c r="BF2856" s="86" t="e">
        <f t="shared" si="118"/>
        <v>#NUM!</v>
      </c>
    </row>
    <row r="2857" spans="58:58" x14ac:dyDescent="0.2">
      <c r="BF2857" s="86" t="e">
        <f t="shared" si="118"/>
        <v>#NUM!</v>
      </c>
    </row>
    <row r="2858" spans="58:58" x14ac:dyDescent="0.2">
      <c r="BF2858" s="86" t="e">
        <f t="shared" si="118"/>
        <v>#NUM!</v>
      </c>
    </row>
    <row r="2859" spans="58:58" x14ac:dyDescent="0.2">
      <c r="BF2859" s="86" t="e">
        <f t="shared" si="118"/>
        <v>#NUM!</v>
      </c>
    </row>
    <row r="2860" spans="58:58" x14ac:dyDescent="0.2">
      <c r="BF2860" s="86" t="e">
        <f t="shared" si="118"/>
        <v>#NUM!</v>
      </c>
    </row>
    <row r="2861" spans="58:58" x14ac:dyDescent="0.2">
      <c r="BF2861" s="86" t="e">
        <f t="shared" si="118"/>
        <v>#NUM!</v>
      </c>
    </row>
    <row r="2862" spans="58:58" x14ac:dyDescent="0.2">
      <c r="BF2862" s="86" t="e">
        <f t="shared" si="118"/>
        <v>#NUM!</v>
      </c>
    </row>
    <row r="2863" spans="58:58" x14ac:dyDescent="0.2">
      <c r="BF2863" s="86" t="e">
        <f t="shared" si="118"/>
        <v>#NUM!</v>
      </c>
    </row>
    <row r="2864" spans="58:58" x14ac:dyDescent="0.2">
      <c r="BF2864" s="86" t="e">
        <f t="shared" si="118"/>
        <v>#NUM!</v>
      </c>
    </row>
    <row r="2865" spans="58:58" x14ac:dyDescent="0.2">
      <c r="BF2865" s="86" t="e">
        <f t="shared" si="118"/>
        <v>#NUM!</v>
      </c>
    </row>
    <row r="2866" spans="58:58" x14ac:dyDescent="0.2">
      <c r="BF2866" s="86" t="e">
        <f t="shared" si="118"/>
        <v>#NUM!</v>
      </c>
    </row>
    <row r="2867" spans="58:58" x14ac:dyDescent="0.2">
      <c r="BF2867" s="86" t="e">
        <f t="shared" si="118"/>
        <v>#NUM!</v>
      </c>
    </row>
    <row r="2868" spans="58:58" x14ac:dyDescent="0.2">
      <c r="BF2868" s="86" t="e">
        <f t="shared" si="118"/>
        <v>#NUM!</v>
      </c>
    </row>
    <row r="2869" spans="58:58" x14ac:dyDescent="0.2">
      <c r="BF2869" s="86" t="e">
        <f t="shared" si="118"/>
        <v>#NUM!</v>
      </c>
    </row>
    <row r="2870" spans="58:58" x14ac:dyDescent="0.2">
      <c r="BF2870" s="86" t="e">
        <f t="shared" si="118"/>
        <v>#NUM!</v>
      </c>
    </row>
    <row r="2871" spans="58:58" x14ac:dyDescent="0.2">
      <c r="BF2871" s="86" t="e">
        <f t="shared" si="118"/>
        <v>#NUM!</v>
      </c>
    </row>
    <row r="2872" spans="58:58" x14ac:dyDescent="0.2">
      <c r="BF2872" s="86" t="e">
        <f t="shared" si="118"/>
        <v>#NUM!</v>
      </c>
    </row>
    <row r="2873" spans="58:58" x14ac:dyDescent="0.2">
      <c r="BF2873" s="86" t="e">
        <f t="shared" si="118"/>
        <v>#NUM!</v>
      </c>
    </row>
    <row r="2874" spans="58:58" x14ac:dyDescent="0.2">
      <c r="BF2874" s="86" t="e">
        <f t="shared" si="118"/>
        <v>#NUM!</v>
      </c>
    </row>
    <row r="2875" spans="58:58" x14ac:dyDescent="0.2">
      <c r="BF2875" s="86" t="e">
        <f t="shared" si="118"/>
        <v>#NUM!</v>
      </c>
    </row>
    <row r="2876" spans="58:58" x14ac:dyDescent="0.2">
      <c r="BF2876" s="86" t="e">
        <f t="shared" si="118"/>
        <v>#NUM!</v>
      </c>
    </row>
    <row r="2877" spans="58:58" x14ac:dyDescent="0.2">
      <c r="BF2877" s="86" t="e">
        <f t="shared" si="118"/>
        <v>#NUM!</v>
      </c>
    </row>
    <row r="2878" spans="58:58" x14ac:dyDescent="0.2">
      <c r="BF2878" s="86" t="e">
        <f t="shared" si="118"/>
        <v>#NUM!</v>
      </c>
    </row>
    <row r="2879" spans="58:58" x14ac:dyDescent="0.2">
      <c r="BF2879" s="86" t="e">
        <f t="shared" si="118"/>
        <v>#NUM!</v>
      </c>
    </row>
    <row r="2880" spans="58:58" x14ac:dyDescent="0.2">
      <c r="BF2880" s="86" t="e">
        <f t="shared" si="118"/>
        <v>#NUM!</v>
      </c>
    </row>
    <row r="2881" spans="57:58" x14ac:dyDescent="0.2">
      <c r="BF2881" s="86" t="e">
        <f t="shared" si="118"/>
        <v>#NUM!</v>
      </c>
    </row>
    <row r="2882" spans="57:58" x14ac:dyDescent="0.2">
      <c r="BF2882" s="86" t="e">
        <f t="shared" si="118"/>
        <v>#NUM!</v>
      </c>
    </row>
    <row r="2883" spans="57:58" x14ac:dyDescent="0.2">
      <c r="BF2883" s="86" t="e">
        <f t="shared" si="118"/>
        <v>#NUM!</v>
      </c>
    </row>
    <row r="2884" spans="57:58" x14ac:dyDescent="0.2">
      <c r="BE2884" s="19"/>
      <c r="BF2884" s="86" t="e">
        <f t="shared" si="118"/>
        <v>#NUM!</v>
      </c>
    </row>
    <row r="2885" spans="57:58" x14ac:dyDescent="0.2">
      <c r="BE2885" s="19"/>
    </row>
    <row r="2886" spans="57:58" x14ac:dyDescent="0.2">
      <c r="BE2886" s="19"/>
    </row>
    <row r="2887" spans="57:58" x14ac:dyDescent="0.2">
      <c r="BE2887" s="19"/>
    </row>
    <row r="2888" spans="57:58" x14ac:dyDescent="0.2">
      <c r="BE2888" s="19"/>
    </row>
    <row r="2889" spans="57:58" x14ac:dyDescent="0.2">
      <c r="BE2889" s="19"/>
    </row>
    <row r="2890" spans="57:58" x14ac:dyDescent="0.2">
      <c r="BE2890" s="19"/>
    </row>
    <row r="2891" spans="57:58" x14ac:dyDescent="0.2">
      <c r="BE2891" s="19"/>
    </row>
    <row r="2892" spans="57:58" x14ac:dyDescent="0.2">
      <c r="BE2892" s="19"/>
    </row>
    <row r="2893" spans="57:58" x14ac:dyDescent="0.2">
      <c r="BE2893" s="19"/>
    </row>
    <row r="2894" spans="57:58" x14ac:dyDescent="0.2">
      <c r="BE2894" s="19"/>
    </row>
    <row r="2895" spans="57:58" x14ac:dyDescent="0.2">
      <c r="BE2895" s="19"/>
    </row>
    <row r="2896" spans="57:58" x14ac:dyDescent="0.2">
      <c r="BE2896" s="19"/>
    </row>
    <row r="2897" spans="57:57" x14ac:dyDescent="0.2">
      <c r="BE2897" s="19"/>
    </row>
    <row r="2898" spans="57:57" x14ac:dyDescent="0.2">
      <c r="BE2898" s="19"/>
    </row>
    <row r="2899" spans="57:57" x14ac:dyDescent="0.2">
      <c r="BE2899" s="19"/>
    </row>
    <row r="2900" spans="57:57" x14ac:dyDescent="0.2">
      <c r="BE2900" s="19"/>
    </row>
    <row r="2901" spans="57:57" x14ac:dyDescent="0.2">
      <c r="BE2901" s="19"/>
    </row>
    <row r="2902" spans="57:57" x14ac:dyDescent="0.2">
      <c r="BE2902" s="19"/>
    </row>
    <row r="2903" spans="57:57" x14ac:dyDescent="0.2">
      <c r="BE2903" s="19"/>
    </row>
    <row r="2904" spans="57:57" x14ac:dyDescent="0.2">
      <c r="BE2904" s="19"/>
    </row>
    <row r="2905" spans="57:57" x14ac:dyDescent="0.2">
      <c r="BE2905" s="19"/>
    </row>
    <row r="2906" spans="57:57" x14ac:dyDescent="0.2">
      <c r="BE2906" s="19"/>
    </row>
    <row r="2907" spans="57:57" x14ac:dyDescent="0.2">
      <c r="BE2907" s="19"/>
    </row>
    <row r="2908" spans="57:57" x14ac:dyDescent="0.2">
      <c r="BE2908" s="19"/>
    </row>
    <row r="2909" spans="57:57" x14ac:dyDescent="0.2">
      <c r="BE2909" s="19"/>
    </row>
  </sheetData>
  <phoneticPr fontId="2" type="noConversion"/>
  <pageMargins left="0.15748031496062992" right="0.15748031496062992" top="0.98425196850393704" bottom="0.98425196850393704" header="0.31496062992125984" footer="0.51181102362204722"/>
  <pageSetup scale="79" orientation="portrait" r:id="rId1"/>
  <headerFooter alignWithMargins="0">
    <oddFooter>&amp;R&amp;P&amp;  of 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44"/>
  <sheetViews>
    <sheetView showGridLines="0" showRowColHeaders="0" zoomScaleNormal="100" workbookViewId="0">
      <selection activeCell="C17" sqref="C17"/>
    </sheetView>
  </sheetViews>
  <sheetFormatPr defaultColWidth="0" defaultRowHeight="12.75" x14ac:dyDescent="0.2"/>
  <cols>
    <col min="1" max="1" width="3.5703125" style="29" customWidth="1"/>
    <col min="2" max="2" width="34" style="54" bestFit="1" customWidth="1"/>
    <col min="3" max="3" width="37.85546875" style="39" customWidth="1"/>
    <col min="4" max="4" width="3.85546875" style="29" customWidth="1"/>
    <col min="5" max="16384" width="0" style="29" hidden="1"/>
  </cols>
  <sheetData>
    <row r="1" spans="2:3" ht="6.75" customHeight="1" x14ac:dyDescent="0.2"/>
    <row r="2" spans="2:3" ht="8.25" customHeight="1" x14ac:dyDescent="0.2"/>
    <row r="3" spans="2:3" x14ac:dyDescent="0.2">
      <c r="B3" s="50" t="s">
        <v>25</v>
      </c>
      <c r="C3" s="44"/>
    </row>
    <row r="4" spans="2:3" x14ac:dyDescent="0.2">
      <c r="B4" s="51"/>
      <c r="C4" s="45"/>
    </row>
    <row r="5" spans="2:3" x14ac:dyDescent="0.2">
      <c r="B5" s="51" t="s">
        <v>7</v>
      </c>
      <c r="C5" s="45" t="str">
        <f>IF('User Inputs'!C4="","",'User Inputs'!C4)</f>
        <v/>
      </c>
    </row>
    <row r="6" spans="2:3" x14ac:dyDescent="0.2">
      <c r="B6" s="51" t="s">
        <v>8</v>
      </c>
      <c r="C6" s="46">
        <f ca="1">TODAY()</f>
        <v>43355</v>
      </c>
    </row>
    <row r="7" spans="2:3" ht="13.5" thickBot="1" x14ac:dyDescent="0.25">
      <c r="B7" s="52" t="s">
        <v>9</v>
      </c>
      <c r="C7" s="47"/>
    </row>
    <row r="10" spans="2:3" x14ac:dyDescent="0.2">
      <c r="B10" s="50" t="s">
        <v>24</v>
      </c>
      <c r="C10" s="44"/>
    </row>
    <row r="11" spans="2:3" x14ac:dyDescent="0.2">
      <c r="B11" s="51"/>
      <c r="C11" s="45"/>
    </row>
    <row r="12" spans="2:3" x14ac:dyDescent="0.2">
      <c r="B12" s="51" t="s">
        <v>10</v>
      </c>
      <c r="C12" s="45" t="str">
        <f>IF('Input csv'!$B$21="","",'Input csv'!$B$21)</f>
        <v/>
      </c>
    </row>
    <row r="13" spans="2:3" x14ac:dyDescent="0.2">
      <c r="B13" s="51" t="s">
        <v>11</v>
      </c>
      <c r="C13" s="46" t="str">
        <f>IF('Input csv'!$B$22="","",'Input csv'!$B$22)</f>
        <v/>
      </c>
    </row>
    <row r="14" spans="2:3" x14ac:dyDescent="0.2">
      <c r="B14" s="51" t="s">
        <v>12</v>
      </c>
      <c r="C14" s="45" t="str">
        <f>IF('Input csv'!$B$23="","",'Input csv'!$B$23)</f>
        <v/>
      </c>
    </row>
    <row r="15" spans="2:3" x14ac:dyDescent="0.2">
      <c r="B15" s="51" t="s">
        <v>96</v>
      </c>
      <c r="C15" s="45" t="str">
        <f>IF('Input csv'!B24="","",'Input csv'!B24/100)</f>
        <v/>
      </c>
    </row>
    <row r="16" spans="2:3" x14ac:dyDescent="0.2">
      <c r="B16" s="51" t="s">
        <v>68</v>
      </c>
      <c r="C16" s="45" t="str">
        <f>IF('Input csv'!B25="","",'Input csv'!B25)</f>
        <v/>
      </c>
    </row>
    <row r="17" spans="2:3" x14ac:dyDescent="0.2">
      <c r="B17" s="51" t="s">
        <v>13</v>
      </c>
      <c r="C17" s="65" t="str">
        <f>IF(C16="","",C16/C15^2)</f>
        <v/>
      </c>
    </row>
    <row r="18" spans="2:3" ht="13.5" thickBot="1" x14ac:dyDescent="0.25">
      <c r="B18" s="52" t="s">
        <v>14</v>
      </c>
      <c r="C18" s="47" t="str">
        <f>IF('Input csv'!$B$26="","",'Input csv'!$B$26)</f>
        <v/>
      </c>
    </row>
    <row r="21" spans="2:3" x14ac:dyDescent="0.2">
      <c r="B21" s="50" t="s">
        <v>23</v>
      </c>
      <c r="C21" s="44"/>
    </row>
    <row r="22" spans="2:3" x14ac:dyDescent="0.2">
      <c r="B22" s="51"/>
      <c r="C22" s="45"/>
    </row>
    <row r="23" spans="2:3" x14ac:dyDescent="0.2">
      <c r="B23" s="51" t="s">
        <v>39</v>
      </c>
      <c r="C23" s="45">
        <f>IF(MID('Input csv'!$B$11,1,3)="",100,MID('Input csv'!$B$11,1,3))</f>
        <v>100</v>
      </c>
    </row>
    <row r="24" spans="2:3" x14ac:dyDescent="0.2">
      <c r="B24" s="51" t="s">
        <v>15</v>
      </c>
      <c r="C24" s="45" t="str">
        <f>IF('Input csv'!$B$14="","",'Input csv'!$B$14)</f>
        <v/>
      </c>
    </row>
    <row r="25" spans="2:3" x14ac:dyDescent="0.2">
      <c r="B25" s="51" t="s">
        <v>16</v>
      </c>
      <c r="C25" s="48" t="str">
        <f>IF('Input csv'!$A$101="","",LEFT('Input csv'!$A$101,16))</f>
        <v/>
      </c>
    </row>
    <row r="26" spans="2:3" x14ac:dyDescent="0.2">
      <c r="B26" s="51" t="s">
        <v>17</v>
      </c>
      <c r="C26" s="48" t="str">
        <f ca="1">IF('Input csv'!$A$101="","",LEFT(OFFSET('Input csv'!$A$101,rows-1,0,1,1),16))</f>
        <v/>
      </c>
    </row>
    <row r="27" spans="2:3" x14ac:dyDescent="0.2">
      <c r="B27" s="51" t="s">
        <v>38</v>
      </c>
      <c r="C27" s="65" t="str">
        <f>IF('Input csv'!$A$101="","",rows/1440)</f>
        <v/>
      </c>
    </row>
    <row r="28" spans="2:3" x14ac:dyDescent="0.2">
      <c r="B28" s="51" t="s">
        <v>40</v>
      </c>
      <c r="C28" s="65" t="str">
        <f>IF('Input csv'!A101="","",(COUNTIF('Full Data Array'!W:W,FALSE)+$C$40)/1440)</f>
        <v/>
      </c>
    </row>
    <row r="29" spans="2:3" x14ac:dyDescent="0.2">
      <c r="B29" s="51" t="s">
        <v>18</v>
      </c>
      <c r="C29" s="45" t="str">
        <f>IF('Input csv'!$B$31="","",'Input csv'!$B$31)</f>
        <v/>
      </c>
    </row>
    <row r="30" spans="2:3" x14ac:dyDescent="0.2">
      <c r="B30" s="51" t="s">
        <v>19</v>
      </c>
      <c r="C30" s="45" t="str">
        <f>IF('Input csv'!$B$32="","",'Input csv'!$B$32)</f>
        <v/>
      </c>
    </row>
    <row r="31" spans="2:3" ht="13.5" thickBot="1" x14ac:dyDescent="0.25">
      <c r="B31" s="52" t="s">
        <v>20</v>
      </c>
      <c r="C31" s="47" t="str">
        <f>IF('Input csv'!$B$34="","",'Input csv'!$B$34)</f>
        <v/>
      </c>
    </row>
    <row r="34" spans="2:3" x14ac:dyDescent="0.2">
      <c r="B34" s="50" t="s">
        <v>22</v>
      </c>
      <c r="C34" s="44"/>
    </row>
    <row r="35" spans="2:3" x14ac:dyDescent="0.2">
      <c r="B35" s="51"/>
      <c r="C35" s="45"/>
    </row>
    <row r="36" spans="2:3" x14ac:dyDescent="0.2">
      <c r="B36" s="51" t="s">
        <v>3</v>
      </c>
      <c r="C36" s="49">
        <f>'User Inputs'!$C$8</f>
        <v>84</v>
      </c>
    </row>
    <row r="37" spans="2:3" x14ac:dyDescent="0.2">
      <c r="B37" s="51" t="s">
        <v>4</v>
      </c>
      <c r="C37" s="49">
        <f>'User Inputs'!$C$10</f>
        <v>180</v>
      </c>
    </row>
    <row r="38" spans="2:3" x14ac:dyDescent="0.2">
      <c r="B38" s="51" t="s">
        <v>35</v>
      </c>
      <c r="C38" s="49">
        <f>'User Inputs'!$C$12</f>
        <v>299</v>
      </c>
    </row>
    <row r="39" spans="2:3" x14ac:dyDescent="0.2">
      <c r="B39" s="51" t="s">
        <v>21</v>
      </c>
      <c r="C39" s="45">
        <f>'User Inputs'!$C$16</f>
        <v>8</v>
      </c>
    </row>
    <row r="40" spans="2:3" ht="13.5" thickBot="1" x14ac:dyDescent="0.25">
      <c r="B40" s="52"/>
      <c r="C40" s="47"/>
    </row>
    <row r="43" spans="2:3" ht="13.5" thickBot="1" x14ac:dyDescent="0.25">
      <c r="B43" s="53" t="s">
        <v>0</v>
      </c>
      <c r="C43" s="64" t="str">
        <f>IF('User Inputs'!$C$6="","",'User Inputs'!$C$6)</f>
        <v/>
      </c>
    </row>
    <row r="44" spans="2:3" ht="86.25" customHeight="1" x14ac:dyDescent="0.2"/>
  </sheetData>
  <phoneticPr fontId="2" type="noConversion"/>
  <printOptions horizontalCentered="1" verticalCentered="1"/>
  <pageMargins left="0" right="0.19685039370078741" top="0.19685039370078741" bottom="0" header="0" footer="0"/>
  <pageSetup paperSize="9" orientation="portrait" r:id="rId1"/>
  <headerFooter scaleWithDoc="0">
    <oddFooter>&amp;L&amp;G   &amp;P   of &amp;N&amp;R© Activinsights Ltd 2017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17"/>
  <sheetViews>
    <sheetView showGridLines="0" showRowColHeaders="0" tabSelected="1" workbookViewId="0">
      <selection activeCell="C12" sqref="C12"/>
    </sheetView>
  </sheetViews>
  <sheetFormatPr defaultColWidth="0" defaultRowHeight="12.75" x14ac:dyDescent="0.2"/>
  <cols>
    <col min="1" max="1" width="9.140625" customWidth="1"/>
    <col min="2" max="2" width="30" style="1" customWidth="1"/>
    <col min="3" max="3" width="44.28515625" style="2" customWidth="1"/>
    <col min="4" max="4" width="3.7109375" customWidth="1"/>
  </cols>
  <sheetData>
    <row r="2" spans="2:3" ht="15" x14ac:dyDescent="0.2">
      <c r="B2" s="43" t="s">
        <v>52</v>
      </c>
    </row>
    <row r="4" spans="2:3" ht="15" thickBot="1" x14ac:dyDescent="0.25">
      <c r="B4" s="40" t="s">
        <v>1</v>
      </c>
      <c r="C4" s="55"/>
    </row>
    <row r="5" spans="2:3" ht="14.25" x14ac:dyDescent="0.2">
      <c r="B5" s="40"/>
      <c r="C5" s="39"/>
    </row>
    <row r="6" spans="2:3" ht="75.75" customHeight="1" thickBot="1" x14ac:dyDescent="0.25">
      <c r="B6" s="41" t="s">
        <v>2</v>
      </c>
      <c r="C6" s="56"/>
    </row>
    <row r="7" spans="2:3" ht="14.25" x14ac:dyDescent="0.2">
      <c r="B7" s="42" t="s">
        <v>5</v>
      </c>
      <c r="C7" s="39"/>
    </row>
    <row r="8" spans="2:3" ht="15" thickBot="1" x14ac:dyDescent="0.25">
      <c r="B8" s="40" t="s">
        <v>3</v>
      </c>
      <c r="C8" s="57">
        <v>84</v>
      </c>
    </row>
    <row r="9" spans="2:3" ht="14.25" x14ac:dyDescent="0.2">
      <c r="B9" s="40"/>
      <c r="C9" s="39"/>
    </row>
    <row r="10" spans="2:3" ht="15" thickBot="1" x14ac:dyDescent="0.25">
      <c r="B10" s="40" t="s">
        <v>4</v>
      </c>
      <c r="C10" s="57">
        <v>180</v>
      </c>
    </row>
    <row r="11" spans="2:3" ht="14.25" x14ac:dyDescent="0.2">
      <c r="B11" s="40"/>
      <c r="C11" s="39"/>
    </row>
    <row r="12" spans="2:3" ht="15" thickBot="1" x14ac:dyDescent="0.25">
      <c r="B12" s="40" t="s">
        <v>35</v>
      </c>
      <c r="C12" s="57">
        <v>299</v>
      </c>
    </row>
    <row r="13" spans="2:3" ht="14.25" x14ac:dyDescent="0.2">
      <c r="B13" s="40"/>
      <c r="C13" s="39"/>
    </row>
    <row r="14" spans="2:3" ht="14.25" x14ac:dyDescent="0.2">
      <c r="B14" s="42" t="s">
        <v>6</v>
      </c>
      <c r="C14" s="39"/>
    </row>
    <row r="15" spans="2:3" ht="14.25" x14ac:dyDescent="0.2">
      <c r="B15" s="42"/>
      <c r="C15" s="39"/>
    </row>
    <row r="16" spans="2:3" ht="15" thickBot="1" x14ac:dyDescent="0.25">
      <c r="B16" s="40" t="s">
        <v>21</v>
      </c>
      <c r="C16" s="58">
        <v>8</v>
      </c>
    </row>
    <row r="17" spans="2:3" ht="14.25" x14ac:dyDescent="0.2">
      <c r="B17" s="40"/>
      <c r="C17" s="39"/>
    </row>
  </sheetData>
  <phoneticPr fontId="2" type="noConversion"/>
  <dataValidations count="2">
    <dataValidation operator="greaterThan" allowBlank="1" showInputMessage="1" showErrorMessage="1" errorTitle="Input error" error="This must be a value greater than zero" sqref="C16" xr:uid="{00000000-0002-0000-0300-000000000000}"/>
    <dataValidation operator="greaterThanOrEqual" allowBlank="1" showInputMessage="1" showErrorMessage="1" promptTitle="Activity baselines" prompt="Please adjust the 1st value in the formula" sqref="C12 C8 C10" xr:uid="{00000000-0002-0000-0300-000001000000}"/>
  </dataValidations>
  <pageMargins left="0" right="0" top="0" bottom="0.118110236220472" header="0" footer="0"/>
  <pageSetup paperSize="9" orientation="portrait" r:id="rId1"/>
  <headerFooter scaleWithDoc="0">
    <oddFooter>&amp;L&amp;G   &amp;P   of &amp;N&amp;RRADC Memory and Aging Project 2017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6263" r:id="rId5" name="Button 7">
              <controlPr defaultSize="0" print="0" autoFill="0" autoPict="0" macro="[0]!ImportDataFile">
                <anchor moveWithCells="1" sizeWithCells="1">
                  <from>
                    <xdr:col>1</xdr:col>
                    <xdr:colOff>266700</xdr:colOff>
                    <xdr:row>17</xdr:row>
                    <xdr:rowOff>28575</xdr:rowOff>
                  </from>
                  <to>
                    <xdr:col>2</xdr:col>
                    <xdr:colOff>247650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264" r:id="rId6" name="Button 8">
              <controlPr defaultSize="0" print="0" autoFill="0" autoPict="0" macro="[0]!Data_analysis">
                <anchor moveWithCells="1" sizeWithCells="1">
                  <from>
                    <xdr:col>2</xdr:col>
                    <xdr:colOff>466725</xdr:colOff>
                    <xdr:row>17</xdr:row>
                    <xdr:rowOff>19050</xdr:rowOff>
                  </from>
                  <to>
                    <xdr:col>2</xdr:col>
                    <xdr:colOff>2447925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pageSetUpPr fitToPage="1"/>
  </sheetPr>
  <dimension ref="A1:CU72"/>
  <sheetViews>
    <sheetView showGridLines="0" showRowColHeaders="0" zoomScaleNormal="100" workbookViewId="0">
      <pane ySplit="10" topLeftCell="A11" activePane="bottomLeft" state="frozen"/>
      <selection activeCell="C28" sqref="C28"/>
      <selection pane="bottomLeft" activeCell="CU4" sqref="CU4"/>
    </sheetView>
  </sheetViews>
  <sheetFormatPr defaultColWidth="0" defaultRowHeight="12.75" x14ac:dyDescent="0.2"/>
  <cols>
    <col min="1" max="1" width="2.85546875" style="16" customWidth="1"/>
    <col min="2" max="2" width="1" style="17" customWidth="1"/>
    <col min="3" max="97" width="1" customWidth="1"/>
    <col min="98" max="98" width="2.7109375" customWidth="1"/>
    <col min="99" max="99" width="13.28515625" customWidth="1"/>
  </cols>
  <sheetData>
    <row r="1" spans="1:99" x14ac:dyDescent="0.2">
      <c r="A1"/>
      <c r="B1"/>
    </row>
    <row r="2" spans="1:99" x14ac:dyDescent="0.2">
      <c r="A2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  <c r="CR2" s="78"/>
      <c r="CS2" s="78"/>
      <c r="CT2" s="78"/>
    </row>
    <row r="3" spans="1:99" ht="14.25" x14ac:dyDescent="0.2">
      <c r="A3"/>
      <c r="B3" s="78"/>
      <c r="C3" s="78"/>
      <c r="D3" s="87" t="str">
        <f>"Device Number: " &amp; 'Input csv'!B3</f>
        <v xml:space="preserve">Device Number: 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87" t="str">
        <f>"Frequency:      " &amp;'Input csv'!B11</f>
        <v xml:space="preserve">Frequency:      </v>
      </c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8"/>
      <c r="BZ3" s="78"/>
      <c r="CA3" s="78"/>
      <c r="CB3" s="78"/>
      <c r="CC3" s="78"/>
      <c r="CD3" s="78"/>
      <c r="CE3" s="78"/>
      <c r="CF3" s="78"/>
      <c r="CG3" s="78"/>
      <c r="CH3" s="78"/>
      <c r="CI3" s="78"/>
      <c r="CJ3" s="78"/>
      <c r="CK3" s="78"/>
      <c r="CL3" s="78"/>
      <c r="CM3" s="78"/>
      <c r="CN3" s="78"/>
      <c r="CO3" s="78"/>
      <c r="CP3" s="78"/>
      <c r="CQ3" s="78"/>
      <c r="CR3" s="78"/>
      <c r="CS3" s="78"/>
      <c r="CT3" s="100"/>
      <c r="CU3" t="s">
        <v>37</v>
      </c>
    </row>
    <row r="4" spans="1:99" ht="14.25" x14ac:dyDescent="0.2">
      <c r="A4"/>
      <c r="B4" s="78"/>
      <c r="C4" s="78"/>
      <c r="D4" s="87" t="str">
        <f>"Subject Code:   " &amp; 'Front Page'!C12</f>
        <v xml:space="preserve">Subject Code:   </v>
      </c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87" t="str">
        <f>"Wear position: " &amp; 'Input csv'!B14</f>
        <v xml:space="preserve">Wear position: </v>
      </c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9"/>
      <c r="CU4" s="69" t="s">
        <v>97</v>
      </c>
    </row>
    <row r="5" spans="1:99" ht="14.25" x14ac:dyDescent="0.2">
      <c r="A5"/>
      <c r="B5" s="78"/>
      <c r="C5" s="78"/>
      <c r="D5" s="87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  <c r="CN5" s="78"/>
      <c r="CO5" s="78"/>
      <c r="CP5" s="78"/>
      <c r="CQ5" s="78"/>
      <c r="CR5" s="78"/>
      <c r="CS5" s="78"/>
      <c r="CT5" s="80"/>
      <c r="CU5" t="s">
        <v>44</v>
      </c>
    </row>
    <row r="6" spans="1:99" ht="14.25" x14ac:dyDescent="0.2">
      <c r="A6"/>
      <c r="B6" s="78"/>
      <c r="C6" s="78"/>
      <c r="D6" s="87" t="str">
        <f>"Start time:      "&amp;'Front Page'!C25</f>
        <v xml:space="preserve">Start time:      </v>
      </c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8"/>
      <c r="BZ6" s="78"/>
      <c r="CA6" s="78"/>
      <c r="CB6" s="78"/>
      <c r="CC6" s="78"/>
      <c r="CD6" s="78"/>
      <c r="CE6" s="78"/>
      <c r="CF6" s="78"/>
      <c r="CG6" s="78"/>
      <c r="CH6" s="78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81"/>
      <c r="CU6" t="s">
        <v>54</v>
      </c>
    </row>
    <row r="7" spans="1:99" ht="14.25" x14ac:dyDescent="0.2">
      <c r="A7"/>
      <c r="B7" s="78"/>
      <c r="C7" s="78"/>
      <c r="D7" s="87" t="str">
        <f ca="1">"End time:        "&amp;'Front Page'!C26</f>
        <v xml:space="preserve">End time:        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82"/>
      <c r="CU7" t="s">
        <v>55</v>
      </c>
    </row>
    <row r="8" spans="1:99" x14ac:dyDescent="0.2">
      <c r="A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</row>
    <row r="9" spans="1:99" ht="14.25" customHeight="1" x14ac:dyDescent="0.2">
      <c r="A9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</row>
    <row r="10" spans="1:99" x14ac:dyDescent="0.2">
      <c r="A10"/>
      <c r="B10"/>
    </row>
    <row r="11" spans="1:99" ht="26.25" customHeight="1" x14ac:dyDescent="0.2">
      <c r="B11" s="17" t="e">
        <f ca="1">'Full Data Array'!BB4 &amp; " " &amp;'Full Data Array'!BD4</f>
        <v>#VALUE!</v>
      </c>
    </row>
    <row r="12" spans="1:99" ht="26.25" customHeight="1" x14ac:dyDescent="0.2">
      <c r="A12" s="94"/>
      <c r="B12" s="95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  <c r="BY12" s="96"/>
      <c r="BZ12" s="96"/>
      <c r="CA12" s="96"/>
      <c r="CB12" s="96"/>
      <c r="CC12" s="96"/>
      <c r="CD12" s="96"/>
      <c r="CE12" s="96"/>
      <c r="CF12" s="96"/>
      <c r="CG12" s="96"/>
      <c r="CH12" s="96"/>
      <c r="CI12" s="96"/>
      <c r="CJ12" s="96"/>
      <c r="CK12" s="96"/>
      <c r="CL12" s="96"/>
      <c r="CM12" s="96"/>
      <c r="CN12" s="96"/>
      <c r="CO12" s="96"/>
      <c r="CP12" s="96"/>
      <c r="CQ12" s="96"/>
      <c r="CR12" s="96"/>
      <c r="CS12" s="96"/>
      <c r="CT12" s="96"/>
    </row>
    <row r="13" spans="1:99" x14ac:dyDescent="0.2">
      <c r="A13" s="94"/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6"/>
      <c r="BY13" s="96"/>
      <c r="BZ13" s="96"/>
      <c r="CA13" s="96"/>
      <c r="CB13" s="96"/>
      <c r="CC13" s="96"/>
      <c r="CD13" s="96"/>
      <c r="CE13" s="96"/>
      <c r="CF13" s="96"/>
      <c r="CG13" s="96"/>
      <c r="CH13" s="96"/>
      <c r="CI13" s="96"/>
      <c r="CJ13" s="96"/>
      <c r="CK13" s="96"/>
      <c r="CL13" s="96"/>
      <c r="CM13" s="96"/>
      <c r="CN13" s="96"/>
      <c r="CO13" s="96"/>
      <c r="CP13" s="96"/>
      <c r="CQ13" s="96"/>
      <c r="CR13" s="96"/>
      <c r="CS13" s="96"/>
      <c r="CT13" s="96"/>
    </row>
    <row r="14" spans="1:99" x14ac:dyDescent="0.2">
      <c r="A14" s="94"/>
      <c r="B14" s="95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6"/>
      <c r="CT14" s="96"/>
    </row>
    <row r="15" spans="1:99" x14ac:dyDescent="0.2">
      <c r="A15" s="94"/>
      <c r="B15" s="96">
        <v>0</v>
      </c>
      <c r="C15" s="96">
        <f>B15+1</f>
        <v>1</v>
      </c>
      <c r="D15" s="96">
        <f t="shared" ref="D15:BO15" si="0">C15+1</f>
        <v>2</v>
      </c>
      <c r="E15" s="96">
        <f t="shared" si="0"/>
        <v>3</v>
      </c>
      <c r="F15" s="96">
        <f t="shared" si="0"/>
        <v>4</v>
      </c>
      <c r="G15" s="96">
        <f t="shared" si="0"/>
        <v>5</v>
      </c>
      <c r="H15" s="96">
        <f t="shared" si="0"/>
        <v>6</v>
      </c>
      <c r="I15" s="96">
        <f t="shared" si="0"/>
        <v>7</v>
      </c>
      <c r="J15" s="96">
        <f t="shared" si="0"/>
        <v>8</v>
      </c>
      <c r="K15" s="96">
        <f t="shared" si="0"/>
        <v>9</v>
      </c>
      <c r="L15" s="96">
        <f t="shared" si="0"/>
        <v>10</v>
      </c>
      <c r="M15" s="96">
        <f t="shared" si="0"/>
        <v>11</v>
      </c>
      <c r="N15" s="96">
        <f t="shared" si="0"/>
        <v>12</v>
      </c>
      <c r="O15" s="96">
        <f t="shared" si="0"/>
        <v>13</v>
      </c>
      <c r="P15" s="96">
        <f t="shared" si="0"/>
        <v>14</v>
      </c>
      <c r="Q15" s="96">
        <f t="shared" si="0"/>
        <v>15</v>
      </c>
      <c r="R15" s="96">
        <f t="shared" si="0"/>
        <v>16</v>
      </c>
      <c r="S15" s="96">
        <f t="shared" si="0"/>
        <v>17</v>
      </c>
      <c r="T15" s="96">
        <f t="shared" si="0"/>
        <v>18</v>
      </c>
      <c r="U15" s="96">
        <f t="shared" si="0"/>
        <v>19</v>
      </c>
      <c r="V15" s="96">
        <f t="shared" si="0"/>
        <v>20</v>
      </c>
      <c r="W15" s="96">
        <f t="shared" si="0"/>
        <v>21</v>
      </c>
      <c r="X15" s="96">
        <f t="shared" si="0"/>
        <v>22</v>
      </c>
      <c r="Y15" s="96">
        <f t="shared" si="0"/>
        <v>23</v>
      </c>
      <c r="Z15" s="96">
        <f t="shared" si="0"/>
        <v>24</v>
      </c>
      <c r="AA15" s="96">
        <f t="shared" si="0"/>
        <v>25</v>
      </c>
      <c r="AB15" s="96">
        <f t="shared" si="0"/>
        <v>26</v>
      </c>
      <c r="AC15" s="96">
        <f t="shared" si="0"/>
        <v>27</v>
      </c>
      <c r="AD15" s="96">
        <f t="shared" si="0"/>
        <v>28</v>
      </c>
      <c r="AE15" s="96">
        <f t="shared" si="0"/>
        <v>29</v>
      </c>
      <c r="AF15" s="96">
        <f t="shared" si="0"/>
        <v>30</v>
      </c>
      <c r="AG15" s="96">
        <f t="shared" si="0"/>
        <v>31</v>
      </c>
      <c r="AH15" s="96">
        <f t="shared" si="0"/>
        <v>32</v>
      </c>
      <c r="AI15" s="96">
        <f t="shared" si="0"/>
        <v>33</v>
      </c>
      <c r="AJ15" s="96">
        <f t="shared" si="0"/>
        <v>34</v>
      </c>
      <c r="AK15" s="96">
        <f t="shared" si="0"/>
        <v>35</v>
      </c>
      <c r="AL15" s="96">
        <f t="shared" si="0"/>
        <v>36</v>
      </c>
      <c r="AM15" s="96">
        <f t="shared" si="0"/>
        <v>37</v>
      </c>
      <c r="AN15" s="96">
        <f t="shared" si="0"/>
        <v>38</v>
      </c>
      <c r="AO15" s="96">
        <f t="shared" si="0"/>
        <v>39</v>
      </c>
      <c r="AP15" s="96">
        <f t="shared" si="0"/>
        <v>40</v>
      </c>
      <c r="AQ15" s="96">
        <f t="shared" si="0"/>
        <v>41</v>
      </c>
      <c r="AR15" s="96">
        <f t="shared" si="0"/>
        <v>42</v>
      </c>
      <c r="AS15" s="96">
        <f t="shared" si="0"/>
        <v>43</v>
      </c>
      <c r="AT15" s="96">
        <f t="shared" si="0"/>
        <v>44</v>
      </c>
      <c r="AU15" s="96">
        <f t="shared" si="0"/>
        <v>45</v>
      </c>
      <c r="AV15" s="96">
        <f t="shared" si="0"/>
        <v>46</v>
      </c>
      <c r="AW15" s="96">
        <f t="shared" si="0"/>
        <v>47</v>
      </c>
      <c r="AX15" s="96">
        <f t="shared" si="0"/>
        <v>48</v>
      </c>
      <c r="AY15" s="96">
        <f t="shared" si="0"/>
        <v>49</v>
      </c>
      <c r="AZ15" s="96">
        <f t="shared" si="0"/>
        <v>50</v>
      </c>
      <c r="BA15" s="96">
        <f t="shared" si="0"/>
        <v>51</v>
      </c>
      <c r="BB15" s="96">
        <f t="shared" si="0"/>
        <v>52</v>
      </c>
      <c r="BC15" s="96">
        <f t="shared" si="0"/>
        <v>53</v>
      </c>
      <c r="BD15" s="96">
        <f t="shared" si="0"/>
        <v>54</v>
      </c>
      <c r="BE15" s="96">
        <f t="shared" si="0"/>
        <v>55</v>
      </c>
      <c r="BF15" s="96">
        <f t="shared" si="0"/>
        <v>56</v>
      </c>
      <c r="BG15" s="96">
        <f t="shared" si="0"/>
        <v>57</v>
      </c>
      <c r="BH15" s="96">
        <f t="shared" si="0"/>
        <v>58</v>
      </c>
      <c r="BI15" s="96">
        <f t="shared" si="0"/>
        <v>59</v>
      </c>
      <c r="BJ15" s="96">
        <f t="shared" si="0"/>
        <v>60</v>
      </c>
      <c r="BK15" s="96">
        <f t="shared" si="0"/>
        <v>61</v>
      </c>
      <c r="BL15" s="96">
        <f t="shared" si="0"/>
        <v>62</v>
      </c>
      <c r="BM15" s="96">
        <f t="shared" si="0"/>
        <v>63</v>
      </c>
      <c r="BN15" s="96">
        <f t="shared" si="0"/>
        <v>64</v>
      </c>
      <c r="BO15" s="96">
        <f t="shared" si="0"/>
        <v>65</v>
      </c>
      <c r="BP15" s="96">
        <f t="shared" ref="BP15:CS15" si="1">BO15+1</f>
        <v>66</v>
      </c>
      <c r="BQ15" s="96">
        <f t="shared" si="1"/>
        <v>67</v>
      </c>
      <c r="BR15" s="96">
        <f t="shared" si="1"/>
        <v>68</v>
      </c>
      <c r="BS15" s="96">
        <f t="shared" si="1"/>
        <v>69</v>
      </c>
      <c r="BT15" s="96">
        <f t="shared" si="1"/>
        <v>70</v>
      </c>
      <c r="BU15" s="96">
        <f t="shared" si="1"/>
        <v>71</v>
      </c>
      <c r="BV15" s="96">
        <f t="shared" si="1"/>
        <v>72</v>
      </c>
      <c r="BW15" s="96">
        <f t="shared" si="1"/>
        <v>73</v>
      </c>
      <c r="BX15" s="96">
        <f t="shared" si="1"/>
        <v>74</v>
      </c>
      <c r="BY15" s="96">
        <f t="shared" si="1"/>
        <v>75</v>
      </c>
      <c r="BZ15" s="96">
        <f t="shared" si="1"/>
        <v>76</v>
      </c>
      <c r="CA15" s="96">
        <f t="shared" si="1"/>
        <v>77</v>
      </c>
      <c r="CB15" s="96">
        <f t="shared" si="1"/>
        <v>78</v>
      </c>
      <c r="CC15" s="96">
        <f t="shared" si="1"/>
        <v>79</v>
      </c>
      <c r="CD15" s="96">
        <f t="shared" si="1"/>
        <v>80</v>
      </c>
      <c r="CE15" s="96">
        <f t="shared" si="1"/>
        <v>81</v>
      </c>
      <c r="CF15" s="96">
        <f t="shared" si="1"/>
        <v>82</v>
      </c>
      <c r="CG15" s="96">
        <f t="shared" si="1"/>
        <v>83</v>
      </c>
      <c r="CH15" s="96">
        <f t="shared" si="1"/>
        <v>84</v>
      </c>
      <c r="CI15" s="96">
        <f t="shared" si="1"/>
        <v>85</v>
      </c>
      <c r="CJ15" s="96">
        <f t="shared" si="1"/>
        <v>86</v>
      </c>
      <c r="CK15" s="96">
        <f t="shared" si="1"/>
        <v>87</v>
      </c>
      <c r="CL15" s="96">
        <f t="shared" si="1"/>
        <v>88</v>
      </c>
      <c r="CM15" s="96">
        <f t="shared" si="1"/>
        <v>89</v>
      </c>
      <c r="CN15" s="96">
        <f t="shared" si="1"/>
        <v>90</v>
      </c>
      <c r="CO15" s="96">
        <f t="shared" si="1"/>
        <v>91</v>
      </c>
      <c r="CP15" s="96">
        <f t="shared" si="1"/>
        <v>92</v>
      </c>
      <c r="CQ15" s="96">
        <f t="shared" si="1"/>
        <v>93</v>
      </c>
      <c r="CR15" s="96">
        <f t="shared" si="1"/>
        <v>94</v>
      </c>
      <c r="CS15" s="96">
        <f t="shared" si="1"/>
        <v>95</v>
      </c>
      <c r="CT15" s="96"/>
    </row>
    <row r="16" spans="1:99" ht="12.75" customHeight="1" x14ac:dyDescent="0.2">
      <c r="A16" s="94"/>
      <c r="B16" s="98" t="e">
        <f ca="1">OFFSET('Full Data Array'!$AU$4,B15,0,1,1)</f>
        <v>#VALUE!</v>
      </c>
      <c r="C16" s="98" t="e">
        <f ca="1">OFFSET('Full Data Array'!$AU$4,C15,0,1,1)</f>
        <v>#VALUE!</v>
      </c>
      <c r="D16" s="98" t="e">
        <f ca="1">OFFSET('Full Data Array'!$AU$4,D15,0,1,1)</f>
        <v>#VALUE!</v>
      </c>
      <c r="E16" s="98">
        <f ca="1">OFFSET('Full Data Array'!$AU$4,E15,0,1,1)</f>
        <v>0</v>
      </c>
      <c r="F16" s="98">
        <f ca="1">OFFSET('Full Data Array'!$AU$4,F15,0,1,1)</f>
        <v>0</v>
      </c>
      <c r="G16" s="98">
        <f ca="1">OFFSET('Full Data Array'!$AU$4,G15,0,1,1)</f>
        <v>0</v>
      </c>
      <c r="H16" s="98">
        <f ca="1">OFFSET('Full Data Array'!$AU$4,H15,0,1,1)</f>
        <v>0</v>
      </c>
      <c r="I16" s="98">
        <f ca="1">OFFSET('Full Data Array'!$AU$4,I15,0,1,1)</f>
        <v>0</v>
      </c>
      <c r="J16" s="98">
        <f ca="1">OFFSET('Full Data Array'!$AU$4,J15,0,1,1)</f>
        <v>0</v>
      </c>
      <c r="K16" s="98">
        <f ca="1">OFFSET('Full Data Array'!$AU$4,K15,0,1,1)</f>
        <v>0</v>
      </c>
      <c r="L16" s="98">
        <f ca="1">OFFSET('Full Data Array'!$AU$4,L15,0,1,1)</f>
        <v>0</v>
      </c>
      <c r="M16" s="98">
        <f ca="1">OFFSET('Full Data Array'!$AU$4,M15,0,1,1)</f>
        <v>0</v>
      </c>
      <c r="N16" s="98">
        <f ca="1">OFFSET('Full Data Array'!$AU$4,N15,0,1,1)</f>
        <v>0</v>
      </c>
      <c r="O16" s="98">
        <f ca="1">OFFSET('Full Data Array'!$AU$4,O15,0,1,1)</f>
        <v>0</v>
      </c>
      <c r="P16" s="98">
        <f ca="1">OFFSET('Full Data Array'!$AU$4,P15,0,1,1)</f>
        <v>0</v>
      </c>
      <c r="Q16" s="98">
        <f ca="1">OFFSET('Full Data Array'!$AU$4,Q15,0,1,1)</f>
        <v>0</v>
      </c>
      <c r="R16" s="98">
        <f ca="1">OFFSET('Full Data Array'!$AU$4,R15,0,1,1)</f>
        <v>0</v>
      </c>
      <c r="S16" s="98">
        <f ca="1">OFFSET('Full Data Array'!$AU$4,S15,0,1,1)</f>
        <v>0</v>
      </c>
      <c r="T16" s="98">
        <f ca="1">OFFSET('Full Data Array'!$AU$4,T15,0,1,1)</f>
        <v>0</v>
      </c>
      <c r="U16" s="98">
        <f ca="1">OFFSET('Full Data Array'!$AU$4,U15,0,1,1)</f>
        <v>0</v>
      </c>
      <c r="V16" s="98">
        <f ca="1">OFFSET('Full Data Array'!$AU$4,V15,0,1,1)</f>
        <v>0</v>
      </c>
      <c r="W16" s="98">
        <f ca="1">OFFSET('Full Data Array'!$AU$4,W15,0,1,1)</f>
        <v>0</v>
      </c>
      <c r="X16" s="98">
        <f ca="1">OFFSET('Full Data Array'!$AU$4,X15,0,1,1)</f>
        <v>0</v>
      </c>
      <c r="Y16" s="98">
        <f ca="1">OFFSET('Full Data Array'!$AU$4,Y15,0,1,1)</f>
        <v>0</v>
      </c>
      <c r="Z16" s="98">
        <f ca="1">OFFSET('Full Data Array'!$AU$4,Z15,0,1,1)</f>
        <v>0</v>
      </c>
      <c r="AA16" s="98">
        <f ca="1">OFFSET('Full Data Array'!$AU$4,AA15,0,1,1)</f>
        <v>0</v>
      </c>
      <c r="AB16" s="98">
        <f ca="1">OFFSET('Full Data Array'!$AU$4,AB15,0,1,1)</f>
        <v>0</v>
      </c>
      <c r="AC16" s="98">
        <f ca="1">OFFSET('Full Data Array'!$AU$4,AC15,0,1,1)</f>
        <v>0</v>
      </c>
      <c r="AD16" s="98">
        <f ca="1">OFFSET('Full Data Array'!$AU$4,AD15,0,1,1)</f>
        <v>0</v>
      </c>
      <c r="AE16" s="98">
        <f ca="1">OFFSET('Full Data Array'!$AU$4,AE15,0,1,1)</f>
        <v>0</v>
      </c>
      <c r="AF16" s="98">
        <f ca="1">OFFSET('Full Data Array'!$AU$4,AF15,0,1,1)</f>
        <v>0</v>
      </c>
      <c r="AG16" s="98">
        <f ca="1">OFFSET('Full Data Array'!$AU$4,AG15,0,1,1)</f>
        <v>0</v>
      </c>
      <c r="AH16" s="98">
        <f ca="1">OFFSET('Full Data Array'!$AU$4,AH15,0,1,1)</f>
        <v>0</v>
      </c>
      <c r="AI16" s="98">
        <f ca="1">OFFSET('Full Data Array'!$AU$4,AI15,0,1,1)</f>
        <v>0</v>
      </c>
      <c r="AJ16" s="98">
        <f ca="1">OFFSET('Full Data Array'!$AU$4,AJ15,0,1,1)</f>
        <v>0</v>
      </c>
      <c r="AK16" s="98">
        <f ca="1">OFFSET('Full Data Array'!$AU$4,AK15,0,1,1)</f>
        <v>0</v>
      </c>
      <c r="AL16" s="98">
        <f ca="1">OFFSET('Full Data Array'!$AU$4,AL15,0,1,1)</f>
        <v>0</v>
      </c>
      <c r="AM16" s="98">
        <f ca="1">OFFSET('Full Data Array'!$AU$4,AM15,0,1,1)</f>
        <v>0</v>
      </c>
      <c r="AN16" s="98">
        <f ca="1">OFFSET('Full Data Array'!$AU$4,AN15,0,1,1)</f>
        <v>0</v>
      </c>
      <c r="AO16" s="98">
        <f ca="1">OFFSET('Full Data Array'!$AU$4,AO15,0,1,1)</f>
        <v>0</v>
      </c>
      <c r="AP16" s="98">
        <f ca="1">OFFSET('Full Data Array'!$AU$4,AP15,0,1,1)</f>
        <v>0</v>
      </c>
      <c r="AQ16" s="98">
        <f ca="1">OFFSET('Full Data Array'!$AU$4,AQ15,0,1,1)</f>
        <v>0</v>
      </c>
      <c r="AR16" s="98">
        <f ca="1">OFFSET('Full Data Array'!$AU$4,AR15,0,1,1)</f>
        <v>0</v>
      </c>
      <c r="AS16" s="98">
        <f ca="1">OFFSET('Full Data Array'!$AU$4,AS15,0,1,1)</f>
        <v>0</v>
      </c>
      <c r="AT16" s="98">
        <f ca="1">OFFSET('Full Data Array'!$AU$4,AT15,0,1,1)</f>
        <v>0</v>
      </c>
      <c r="AU16" s="98">
        <f ca="1">OFFSET('Full Data Array'!$AU$4,AU15,0,1,1)</f>
        <v>0</v>
      </c>
      <c r="AV16" s="98">
        <f ca="1">OFFSET('Full Data Array'!$AU$4,AV15,0,1,1)</f>
        <v>0</v>
      </c>
      <c r="AW16" s="98">
        <f ca="1">OFFSET('Full Data Array'!$AU$4,AW15,0,1,1)</f>
        <v>0</v>
      </c>
      <c r="AX16" s="98">
        <f ca="1">OFFSET('Full Data Array'!$AU$4,AX15,0,1,1)</f>
        <v>0</v>
      </c>
      <c r="AY16" s="98">
        <f ca="1">OFFSET('Full Data Array'!$AU$4,AY15,0,1,1)</f>
        <v>0</v>
      </c>
      <c r="AZ16" s="98">
        <f ca="1">OFFSET('Full Data Array'!$AU$4,AZ15,0,1,1)</f>
        <v>0</v>
      </c>
      <c r="BA16" s="98">
        <f ca="1">OFFSET('Full Data Array'!$AU$4,BA15,0,1,1)</f>
        <v>0</v>
      </c>
      <c r="BB16" s="98">
        <f ca="1">OFFSET('Full Data Array'!$AU$4,BB15,0,1,1)</f>
        <v>0</v>
      </c>
      <c r="BC16" s="98">
        <f ca="1">OFFSET('Full Data Array'!$AU$4,BC15,0,1,1)</f>
        <v>0</v>
      </c>
      <c r="BD16" s="98">
        <f ca="1">OFFSET('Full Data Array'!$AU$4,BD15,0,1,1)</f>
        <v>0</v>
      </c>
      <c r="BE16" s="98">
        <f ca="1">OFFSET('Full Data Array'!$AU$4,BE15,0,1,1)</f>
        <v>0</v>
      </c>
      <c r="BF16" s="98">
        <f ca="1">OFFSET('Full Data Array'!$AU$4,BF15,0,1,1)</f>
        <v>0</v>
      </c>
      <c r="BG16" s="98">
        <f ca="1">OFFSET('Full Data Array'!$AU$4,BG15,0,1,1)</f>
        <v>0</v>
      </c>
      <c r="BH16" s="98">
        <f ca="1">OFFSET('Full Data Array'!$AU$4,BH15,0,1,1)</f>
        <v>0</v>
      </c>
      <c r="BI16" s="98">
        <f ca="1">OFFSET('Full Data Array'!$AU$4,BI15,0,1,1)</f>
        <v>0</v>
      </c>
      <c r="BJ16" s="98">
        <f ca="1">OFFSET('Full Data Array'!$AU$4,BJ15,0,1,1)</f>
        <v>0</v>
      </c>
      <c r="BK16" s="98">
        <f ca="1">OFFSET('Full Data Array'!$AU$4,BK15,0,1,1)</f>
        <v>0</v>
      </c>
      <c r="BL16" s="98">
        <f ca="1">OFFSET('Full Data Array'!$AU$4,BL15,0,1,1)</f>
        <v>0</v>
      </c>
      <c r="BM16" s="98">
        <f ca="1">OFFSET('Full Data Array'!$AU$4,BM15,0,1,1)</f>
        <v>0</v>
      </c>
      <c r="BN16" s="98">
        <f ca="1">OFFSET('Full Data Array'!$AU$4,BN15,0,1,1)</f>
        <v>0</v>
      </c>
      <c r="BO16" s="98">
        <f ca="1">OFFSET('Full Data Array'!$AU$4,BO15,0,1,1)</f>
        <v>0</v>
      </c>
      <c r="BP16" s="98">
        <f ca="1">OFFSET('Full Data Array'!$AU$4,BP15,0,1,1)</f>
        <v>0</v>
      </c>
      <c r="BQ16" s="98">
        <f ca="1">OFFSET('Full Data Array'!$AU$4,BQ15,0,1,1)</f>
        <v>0</v>
      </c>
      <c r="BR16" s="98">
        <f ca="1">OFFSET('Full Data Array'!$AU$4,BR15,0,1,1)</f>
        <v>0</v>
      </c>
      <c r="BS16" s="98">
        <f ca="1">OFFSET('Full Data Array'!$AU$4,BS15,0,1,1)</f>
        <v>0</v>
      </c>
      <c r="BT16" s="98">
        <f ca="1">OFFSET('Full Data Array'!$AU$4,BT15,0,1,1)</f>
        <v>0</v>
      </c>
      <c r="BU16" s="98">
        <f ca="1">OFFSET('Full Data Array'!$AU$4,BU15,0,1,1)</f>
        <v>0</v>
      </c>
      <c r="BV16" s="98">
        <f ca="1">OFFSET('Full Data Array'!$AU$4,BV15,0,1,1)</f>
        <v>0</v>
      </c>
      <c r="BW16" s="98">
        <f ca="1">OFFSET('Full Data Array'!$AU$4,BW15,0,1,1)</f>
        <v>0</v>
      </c>
      <c r="BX16" s="98">
        <f ca="1">OFFSET('Full Data Array'!$AU$4,BX15,0,1,1)</f>
        <v>0</v>
      </c>
      <c r="BY16" s="98">
        <f ca="1">OFFSET('Full Data Array'!$AU$4,BY15,0,1,1)</f>
        <v>0</v>
      </c>
      <c r="BZ16" s="98">
        <f ca="1">OFFSET('Full Data Array'!$AU$4,BZ15,0,1,1)</f>
        <v>0</v>
      </c>
      <c r="CA16" s="98">
        <f ca="1">OFFSET('Full Data Array'!$AU$4,CA15,0,1,1)</f>
        <v>0</v>
      </c>
      <c r="CB16" s="98">
        <f ca="1">OFFSET('Full Data Array'!$AU$4,CB15,0,1,1)</f>
        <v>0</v>
      </c>
      <c r="CC16" s="98">
        <f ca="1">OFFSET('Full Data Array'!$AU$4,CC15,0,1,1)</f>
        <v>0</v>
      </c>
      <c r="CD16" s="98">
        <f ca="1">OFFSET('Full Data Array'!$AU$4,CD15,0,1,1)</f>
        <v>0</v>
      </c>
      <c r="CE16" s="98">
        <f ca="1">OFFSET('Full Data Array'!$AU$4,CE15,0,1,1)</f>
        <v>0</v>
      </c>
      <c r="CF16" s="98">
        <f ca="1">OFFSET('Full Data Array'!$AU$4,CF15,0,1,1)</f>
        <v>0</v>
      </c>
      <c r="CG16" s="98">
        <f ca="1">OFFSET('Full Data Array'!$AU$4,CG15,0,1,1)</f>
        <v>0</v>
      </c>
      <c r="CH16" s="98">
        <f ca="1">OFFSET('Full Data Array'!$AU$4,CH15,0,1,1)</f>
        <v>0</v>
      </c>
      <c r="CI16" s="98">
        <f ca="1">OFFSET('Full Data Array'!$AU$4,CI15,0,1,1)</f>
        <v>0</v>
      </c>
      <c r="CJ16" s="98">
        <f ca="1">OFFSET('Full Data Array'!$AU$4,CJ15,0,1,1)</f>
        <v>0</v>
      </c>
      <c r="CK16" s="98">
        <f ca="1">OFFSET('Full Data Array'!$AU$4,CK15,0,1,1)</f>
        <v>0</v>
      </c>
      <c r="CL16" s="98">
        <f ca="1">OFFSET('Full Data Array'!$AU$4,CL15,0,1,1)</f>
        <v>0</v>
      </c>
      <c r="CM16" s="98">
        <f ca="1">OFFSET('Full Data Array'!$AU$4,CM15,0,1,1)</f>
        <v>0</v>
      </c>
      <c r="CN16" s="98">
        <f ca="1">OFFSET('Full Data Array'!$AU$4,CN15,0,1,1)</f>
        <v>0</v>
      </c>
      <c r="CO16" s="98">
        <f ca="1">OFFSET('Full Data Array'!$AU$4,CO15,0,1,1)</f>
        <v>0</v>
      </c>
      <c r="CP16" s="98">
        <f ca="1">OFFSET('Full Data Array'!$AU$4,CP15,0,1,1)</f>
        <v>0</v>
      </c>
      <c r="CQ16" s="98">
        <f ca="1">OFFSET('Full Data Array'!$AU$4,CQ15,0,1,1)</f>
        <v>0</v>
      </c>
      <c r="CR16" s="98">
        <f ca="1">OFFSET('Full Data Array'!$AU$4,CR15,0,1,1)</f>
        <v>0</v>
      </c>
      <c r="CS16" s="98">
        <f ca="1">OFFSET('Full Data Array'!$AU$4,CS15,0,1,1)</f>
        <v>0</v>
      </c>
      <c r="CT16" s="97"/>
    </row>
    <row r="17" spans="1:98" x14ac:dyDescent="0.2">
      <c r="A17" s="94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9"/>
    </row>
    <row r="18" spans="1:98" ht="12.75" customHeight="1" x14ac:dyDescent="0.2">
      <c r="A18" s="94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/>
      <c r="CG18" s="95"/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</row>
    <row r="19" spans="1:98" x14ac:dyDescent="0.2">
      <c r="B19"/>
    </row>
    <row r="20" spans="1:98" x14ac:dyDescent="0.2">
      <c r="A20"/>
      <c r="B20" s="31"/>
    </row>
    <row r="21" spans="1:98" x14ac:dyDescent="0.2">
      <c r="A21"/>
      <c r="B21"/>
    </row>
    <row r="22" spans="1:98" x14ac:dyDescent="0.2">
      <c r="A22"/>
      <c r="B22"/>
    </row>
    <row r="23" spans="1:98" x14ac:dyDescent="0.2">
      <c r="A23"/>
      <c r="B23"/>
    </row>
    <row r="24" spans="1:98" x14ac:dyDescent="0.2">
      <c r="A24"/>
      <c r="B24"/>
    </row>
    <row r="25" spans="1:98" x14ac:dyDescent="0.2">
      <c r="A25"/>
      <c r="B25"/>
    </row>
    <row r="26" spans="1:98" x14ac:dyDescent="0.2">
      <c r="A26"/>
      <c r="B26"/>
    </row>
    <row r="27" spans="1:98" x14ac:dyDescent="0.2">
      <c r="A27"/>
      <c r="B27"/>
    </row>
    <row r="28" spans="1:98" x14ac:dyDescent="0.2">
      <c r="A28"/>
      <c r="B28"/>
    </row>
    <row r="29" spans="1:98" x14ac:dyDescent="0.2">
      <c r="A29"/>
      <c r="B29"/>
    </row>
    <row r="30" spans="1:98" x14ac:dyDescent="0.2">
      <c r="A30"/>
      <c r="B30"/>
    </row>
    <row r="31" spans="1:98" x14ac:dyDescent="0.2">
      <c r="A31"/>
      <c r="B31"/>
    </row>
    <row r="32" spans="1:98" x14ac:dyDescent="0.2">
      <c r="A32"/>
      <c r="B32" s="31"/>
    </row>
    <row r="33" spans="1:2" x14ac:dyDescent="0.2">
      <c r="A33"/>
      <c r="B33" s="31"/>
    </row>
    <row r="34" spans="1:2" x14ac:dyDescent="0.2">
      <c r="A34"/>
      <c r="B34"/>
    </row>
    <row r="35" spans="1:2" x14ac:dyDescent="0.2">
      <c r="A35"/>
      <c r="B35"/>
    </row>
    <row r="36" spans="1:2" x14ac:dyDescent="0.2">
      <c r="A36"/>
      <c r="B36"/>
    </row>
    <row r="37" spans="1:2" x14ac:dyDescent="0.2">
      <c r="A37"/>
      <c r="B37"/>
    </row>
    <row r="38" spans="1:2" x14ac:dyDescent="0.2">
      <c r="A38"/>
      <c r="B38"/>
    </row>
    <row r="39" spans="1:2" x14ac:dyDescent="0.2">
      <c r="A39"/>
      <c r="B39"/>
    </row>
    <row r="40" spans="1:2" x14ac:dyDescent="0.2">
      <c r="A40"/>
      <c r="B40"/>
    </row>
    <row r="41" spans="1:2" x14ac:dyDescent="0.2">
      <c r="A41"/>
      <c r="B41"/>
    </row>
    <row r="42" spans="1:2" x14ac:dyDescent="0.2">
      <c r="A42"/>
      <c r="B42"/>
    </row>
    <row r="43" spans="1:2" x14ac:dyDescent="0.2">
      <c r="A43"/>
      <c r="B43"/>
    </row>
    <row r="44" spans="1:2" x14ac:dyDescent="0.2">
      <c r="A44"/>
      <c r="B44"/>
    </row>
    <row r="45" spans="1:2" x14ac:dyDescent="0.2">
      <c r="A45"/>
      <c r="B45"/>
    </row>
    <row r="46" spans="1:2" x14ac:dyDescent="0.2">
      <c r="A46"/>
      <c r="B46" s="31"/>
    </row>
    <row r="47" spans="1:2" x14ac:dyDescent="0.2">
      <c r="A47"/>
      <c r="B47"/>
    </row>
    <row r="48" spans="1:2" x14ac:dyDescent="0.2">
      <c r="A48"/>
      <c r="B48"/>
    </row>
    <row r="49" spans="1:2" x14ac:dyDescent="0.2">
      <c r="A49"/>
      <c r="B49"/>
    </row>
    <row r="50" spans="1:2" x14ac:dyDescent="0.2">
      <c r="A50"/>
      <c r="B50"/>
    </row>
    <row r="51" spans="1:2" x14ac:dyDescent="0.2">
      <c r="A51"/>
      <c r="B51"/>
    </row>
    <row r="52" spans="1:2" x14ac:dyDescent="0.2">
      <c r="A52"/>
      <c r="B52"/>
    </row>
    <row r="53" spans="1:2" x14ac:dyDescent="0.2">
      <c r="A53"/>
      <c r="B53"/>
    </row>
    <row r="54" spans="1:2" x14ac:dyDescent="0.2">
      <c r="A54"/>
      <c r="B54"/>
    </row>
    <row r="59" spans="1:2" x14ac:dyDescent="0.2">
      <c r="B59" s="59"/>
    </row>
    <row r="72" spans="2:2" x14ac:dyDescent="0.2">
      <c r="B72" s="59"/>
    </row>
  </sheetData>
  <phoneticPr fontId="2" type="noConversion"/>
  <conditionalFormatting sqref="CT17 B16:CS16">
    <cfRule type="expression" dxfId="47" priority="17" stopIfTrue="1">
      <formula>"&gt;0"</formula>
    </cfRule>
  </conditionalFormatting>
  <conditionalFormatting sqref="CT18">
    <cfRule type="expression" dxfId="46" priority="12" stopIfTrue="1">
      <formula>CT17="vigorous"</formula>
    </cfRule>
    <cfRule type="expression" dxfId="45" priority="13" stopIfTrue="1">
      <formula>CT17="moderate"</formula>
    </cfRule>
    <cfRule type="expression" dxfId="44" priority="14" stopIfTrue="1">
      <formula>CT17="light"</formula>
    </cfRule>
    <cfRule type="expression" dxfId="43" priority="15" stopIfTrue="1">
      <formula>CT17="sedentary"</formula>
    </cfRule>
    <cfRule type="expression" dxfId="42" priority="16" stopIfTrue="1">
      <formula>CT17="Sleep"</formula>
    </cfRule>
  </conditionalFormatting>
  <conditionalFormatting sqref="B18:CS18">
    <cfRule type="expression" dxfId="41" priority="25" stopIfTrue="1">
      <formula>B16="vigorous"</formula>
    </cfRule>
    <cfRule type="expression" dxfId="40" priority="26" stopIfTrue="1">
      <formula>B16="moderate"</formula>
    </cfRule>
    <cfRule type="expression" dxfId="39" priority="27" stopIfTrue="1">
      <formula>B16="light"</formula>
    </cfRule>
    <cfRule type="expression" dxfId="38" priority="28" stopIfTrue="1">
      <formula>B16="sedentary"</formula>
    </cfRule>
    <cfRule type="expression" dxfId="37" priority="29" stopIfTrue="1">
      <formula>B16="Sleep"</formula>
    </cfRule>
  </conditionalFormatting>
  <conditionalFormatting sqref="B17:CS17">
    <cfRule type="expression" dxfId="36" priority="1" stopIfTrue="1">
      <formula>B16="vigorous"</formula>
    </cfRule>
    <cfRule type="expression" dxfId="35" priority="2" stopIfTrue="1">
      <formula>B16="moderate"</formula>
    </cfRule>
    <cfRule type="expression" dxfId="34" priority="3" stopIfTrue="1">
      <formula>B16="light"</formula>
    </cfRule>
    <cfRule type="expression" dxfId="33" priority="4" stopIfTrue="1">
      <formula>B16="sedentary"</formula>
    </cfRule>
    <cfRule type="expression" dxfId="32" priority="5" stopIfTrue="1">
      <formula>B16="Sleep"</formula>
    </cfRule>
  </conditionalFormatting>
  <printOptions horizontalCentered="1"/>
  <pageMargins left="0" right="0.196850393700787" top="0.196850393700787" bottom="0" header="0" footer="0.196850393700787"/>
  <pageSetup paperSize="9" scale="78" fitToHeight="0" orientation="portrait" r:id="rId1"/>
  <headerFooter scaleWithDoc="0">
    <oddFooter>&amp;L&amp;G   &amp;P   of &amp;N&amp;R RADC Memory and Aging Project 2017</oddFooter>
  </headerFooter>
  <ignoredErrors>
    <ignoredError sqref="B11" evalError="1"/>
  </ignoredErrors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FFEF7-FA80-4EFB-909E-8BA295A31D63}">
  <sheetPr codeName="Sheet9">
    <pageSetUpPr fitToPage="1"/>
  </sheetPr>
  <dimension ref="A1:CU72"/>
  <sheetViews>
    <sheetView showGridLines="0" showRowColHeaders="0" zoomScaleNormal="100" workbookViewId="0">
      <pane ySplit="10" topLeftCell="A11" activePane="bottomLeft" state="frozen"/>
      <selection activeCell="C28" sqref="C28"/>
      <selection pane="bottomLeft" activeCell="CU12" sqref="CU12"/>
    </sheetView>
  </sheetViews>
  <sheetFormatPr defaultColWidth="0" defaultRowHeight="12.75" x14ac:dyDescent="0.2"/>
  <cols>
    <col min="1" max="1" width="2.85546875" style="16" customWidth="1"/>
    <col min="2" max="2" width="1" style="17" customWidth="1"/>
    <col min="3" max="97" width="1" customWidth="1"/>
    <col min="98" max="98" width="2.7109375" customWidth="1"/>
    <col min="99" max="99" width="13.28515625" customWidth="1"/>
  </cols>
  <sheetData>
    <row r="1" spans="1:99" x14ac:dyDescent="0.2">
      <c r="A1"/>
      <c r="B1"/>
    </row>
    <row r="2" spans="1:99" x14ac:dyDescent="0.2">
      <c r="A2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  <c r="CR2" s="78"/>
      <c r="CS2" s="78"/>
      <c r="CT2" s="78"/>
    </row>
    <row r="3" spans="1:99" ht="14.25" x14ac:dyDescent="0.2">
      <c r="A3"/>
      <c r="B3" s="78"/>
      <c r="C3" s="78"/>
      <c r="D3" s="87" t="str">
        <f>"Device Number: " &amp; 'Input csv'!B3</f>
        <v xml:space="preserve">Device Number: 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87" t="str">
        <f>"Frequency:      " &amp;'Input csv'!B11</f>
        <v xml:space="preserve">Frequency:      </v>
      </c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8"/>
      <c r="BZ3" s="78"/>
      <c r="CA3" s="78"/>
      <c r="CB3" s="78"/>
      <c r="CC3" s="78"/>
      <c r="CD3" s="78"/>
      <c r="CE3" s="78"/>
      <c r="CF3" s="78"/>
      <c r="CG3" s="78"/>
      <c r="CH3" s="78"/>
      <c r="CI3" s="78"/>
      <c r="CJ3" s="78"/>
      <c r="CK3" s="78"/>
      <c r="CL3" s="78"/>
      <c r="CM3" s="78"/>
      <c r="CN3" s="78"/>
      <c r="CO3" s="78"/>
      <c r="CP3" s="78"/>
      <c r="CQ3" s="78"/>
      <c r="CR3" s="78"/>
      <c r="CS3" s="78"/>
      <c r="CT3" s="100"/>
      <c r="CU3" t="s">
        <v>37</v>
      </c>
    </row>
    <row r="4" spans="1:99" ht="14.25" x14ac:dyDescent="0.2">
      <c r="A4"/>
      <c r="B4" s="78"/>
      <c r="C4" s="78"/>
      <c r="D4" s="87" t="str">
        <f>"Subject Code:   " &amp; 'Front Page'!C12</f>
        <v xml:space="preserve">Subject Code:   </v>
      </c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87" t="str">
        <f>"Wear position: " &amp; 'Input csv'!B14</f>
        <v xml:space="preserve">Wear position: </v>
      </c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9"/>
      <c r="CU4" s="69" t="s">
        <v>97</v>
      </c>
    </row>
    <row r="5" spans="1:99" ht="14.25" x14ac:dyDescent="0.2">
      <c r="A5"/>
      <c r="B5" s="78"/>
      <c r="C5" s="78"/>
      <c r="D5" s="87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  <c r="CN5" s="78"/>
      <c r="CO5" s="78"/>
      <c r="CP5" s="78"/>
      <c r="CQ5" s="78"/>
      <c r="CR5" s="78"/>
      <c r="CS5" s="78"/>
      <c r="CT5" s="80"/>
      <c r="CU5" t="s">
        <v>44</v>
      </c>
    </row>
    <row r="6" spans="1:99" ht="14.25" x14ac:dyDescent="0.2">
      <c r="A6"/>
      <c r="B6" s="78"/>
      <c r="C6" s="78"/>
      <c r="D6" s="87" t="str">
        <f>"Start time:      "&amp;'Front Page'!C25</f>
        <v xml:space="preserve">Start time:      </v>
      </c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8"/>
      <c r="BZ6" s="78"/>
      <c r="CA6" s="78"/>
      <c r="CB6" s="78"/>
      <c r="CC6" s="78"/>
      <c r="CD6" s="78"/>
      <c r="CE6" s="78"/>
      <c r="CF6" s="78"/>
      <c r="CG6" s="78"/>
      <c r="CH6" s="78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81"/>
      <c r="CU6" t="s">
        <v>54</v>
      </c>
    </row>
    <row r="7" spans="1:99" ht="14.25" x14ac:dyDescent="0.2">
      <c r="A7"/>
      <c r="B7" s="78"/>
      <c r="C7" s="78"/>
      <c r="D7" s="87" t="str">
        <f ca="1">"End time:        "&amp;'Front Page'!C26</f>
        <v xml:space="preserve">End time:        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82"/>
      <c r="CU7" t="s">
        <v>55</v>
      </c>
    </row>
    <row r="8" spans="1:99" x14ac:dyDescent="0.2">
      <c r="A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</row>
    <row r="9" spans="1:99" ht="14.25" customHeight="1" x14ac:dyDescent="0.2">
      <c r="A9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</row>
    <row r="10" spans="1:99" x14ac:dyDescent="0.2">
      <c r="A10"/>
      <c r="B10"/>
    </row>
    <row r="11" spans="1:99" ht="26.25" customHeight="1" x14ac:dyDescent="0.2">
      <c r="B11" s="17" t="e">
        <f ca="1">'Full Data Array'!BB4 &amp; " " &amp;'Full Data Array'!BD4</f>
        <v>#VALUE!</v>
      </c>
    </row>
    <row r="12" spans="1:99" ht="26.25" customHeight="1" x14ac:dyDescent="0.2">
      <c r="A12" s="94"/>
      <c r="B12" s="95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  <c r="BY12" s="96"/>
      <c r="BZ12" s="96"/>
      <c r="CA12" s="96"/>
      <c r="CB12" s="96"/>
      <c r="CC12" s="96"/>
      <c r="CD12" s="96"/>
      <c r="CE12" s="96"/>
      <c r="CF12" s="96"/>
      <c r="CG12" s="96"/>
      <c r="CH12" s="96"/>
      <c r="CI12" s="96"/>
      <c r="CJ12" s="96"/>
      <c r="CK12" s="96"/>
      <c r="CL12" s="96"/>
      <c r="CM12" s="96"/>
      <c r="CN12" s="96"/>
      <c r="CO12" s="96"/>
      <c r="CP12" s="96"/>
      <c r="CQ12" s="96"/>
      <c r="CR12" s="96"/>
      <c r="CS12" s="96"/>
      <c r="CT12" s="96"/>
    </row>
    <row r="13" spans="1:99" x14ac:dyDescent="0.2">
      <c r="A13" s="94"/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6"/>
      <c r="BY13" s="96"/>
      <c r="BZ13" s="96"/>
      <c r="CA13" s="96"/>
      <c r="CB13" s="96"/>
      <c r="CC13" s="96"/>
      <c r="CD13" s="96"/>
      <c r="CE13" s="96"/>
      <c r="CF13" s="96"/>
      <c r="CG13" s="96"/>
      <c r="CH13" s="96"/>
      <c r="CI13" s="96"/>
      <c r="CJ13" s="96"/>
      <c r="CK13" s="96"/>
      <c r="CL13" s="96"/>
      <c r="CM13" s="96"/>
      <c r="CN13" s="96"/>
      <c r="CO13" s="96"/>
      <c r="CP13" s="96"/>
      <c r="CQ13" s="96"/>
      <c r="CR13" s="96"/>
      <c r="CS13" s="96"/>
      <c r="CT13" s="96"/>
    </row>
    <row r="14" spans="1:99" x14ac:dyDescent="0.2">
      <c r="A14" s="94"/>
      <c r="B14" s="95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6"/>
      <c r="CT14" s="96"/>
    </row>
    <row r="15" spans="1:99" x14ac:dyDescent="0.2">
      <c r="A15" s="94"/>
      <c r="B15" s="96">
        <v>0</v>
      </c>
      <c r="C15" s="96">
        <f>B15+1</f>
        <v>1</v>
      </c>
      <c r="D15" s="96">
        <f t="shared" ref="D15:BO15" si="0">C15+1</f>
        <v>2</v>
      </c>
      <c r="E15" s="96">
        <f t="shared" si="0"/>
        <v>3</v>
      </c>
      <c r="F15" s="96">
        <f t="shared" si="0"/>
        <v>4</v>
      </c>
      <c r="G15" s="96">
        <f t="shared" si="0"/>
        <v>5</v>
      </c>
      <c r="H15" s="96">
        <f t="shared" si="0"/>
        <v>6</v>
      </c>
      <c r="I15" s="96">
        <f t="shared" si="0"/>
        <v>7</v>
      </c>
      <c r="J15" s="96">
        <f t="shared" si="0"/>
        <v>8</v>
      </c>
      <c r="K15" s="96">
        <f t="shared" si="0"/>
        <v>9</v>
      </c>
      <c r="L15" s="96">
        <f t="shared" si="0"/>
        <v>10</v>
      </c>
      <c r="M15" s="96">
        <f t="shared" si="0"/>
        <v>11</v>
      </c>
      <c r="N15" s="96">
        <f t="shared" si="0"/>
        <v>12</v>
      </c>
      <c r="O15" s="96">
        <f t="shared" si="0"/>
        <v>13</v>
      </c>
      <c r="P15" s="96">
        <f t="shared" si="0"/>
        <v>14</v>
      </c>
      <c r="Q15" s="96">
        <f t="shared" si="0"/>
        <v>15</v>
      </c>
      <c r="R15" s="96">
        <f t="shared" si="0"/>
        <v>16</v>
      </c>
      <c r="S15" s="96">
        <f t="shared" si="0"/>
        <v>17</v>
      </c>
      <c r="T15" s="96">
        <f t="shared" si="0"/>
        <v>18</v>
      </c>
      <c r="U15" s="96">
        <f t="shared" si="0"/>
        <v>19</v>
      </c>
      <c r="V15" s="96">
        <f t="shared" si="0"/>
        <v>20</v>
      </c>
      <c r="W15" s="96">
        <f t="shared" si="0"/>
        <v>21</v>
      </c>
      <c r="X15" s="96">
        <f t="shared" si="0"/>
        <v>22</v>
      </c>
      <c r="Y15" s="96">
        <f t="shared" si="0"/>
        <v>23</v>
      </c>
      <c r="Z15" s="96">
        <f t="shared" si="0"/>
        <v>24</v>
      </c>
      <c r="AA15" s="96">
        <f t="shared" si="0"/>
        <v>25</v>
      </c>
      <c r="AB15" s="96">
        <f t="shared" si="0"/>
        <v>26</v>
      </c>
      <c r="AC15" s="96">
        <f t="shared" si="0"/>
        <v>27</v>
      </c>
      <c r="AD15" s="96">
        <f t="shared" si="0"/>
        <v>28</v>
      </c>
      <c r="AE15" s="96">
        <f t="shared" si="0"/>
        <v>29</v>
      </c>
      <c r="AF15" s="96">
        <f t="shared" si="0"/>
        <v>30</v>
      </c>
      <c r="AG15" s="96">
        <f t="shared" si="0"/>
        <v>31</v>
      </c>
      <c r="AH15" s="96">
        <f t="shared" si="0"/>
        <v>32</v>
      </c>
      <c r="AI15" s="96">
        <f t="shared" si="0"/>
        <v>33</v>
      </c>
      <c r="AJ15" s="96">
        <f t="shared" si="0"/>
        <v>34</v>
      </c>
      <c r="AK15" s="96">
        <f t="shared" si="0"/>
        <v>35</v>
      </c>
      <c r="AL15" s="96">
        <f t="shared" si="0"/>
        <v>36</v>
      </c>
      <c r="AM15" s="96">
        <f t="shared" si="0"/>
        <v>37</v>
      </c>
      <c r="AN15" s="96">
        <f t="shared" si="0"/>
        <v>38</v>
      </c>
      <c r="AO15" s="96">
        <f t="shared" si="0"/>
        <v>39</v>
      </c>
      <c r="AP15" s="96">
        <f t="shared" si="0"/>
        <v>40</v>
      </c>
      <c r="AQ15" s="96">
        <f t="shared" si="0"/>
        <v>41</v>
      </c>
      <c r="AR15" s="96">
        <f t="shared" si="0"/>
        <v>42</v>
      </c>
      <c r="AS15" s="96">
        <f t="shared" si="0"/>
        <v>43</v>
      </c>
      <c r="AT15" s="96">
        <f t="shared" si="0"/>
        <v>44</v>
      </c>
      <c r="AU15" s="96">
        <f t="shared" si="0"/>
        <v>45</v>
      </c>
      <c r="AV15" s="96">
        <f t="shared" si="0"/>
        <v>46</v>
      </c>
      <c r="AW15" s="96">
        <f t="shared" si="0"/>
        <v>47</v>
      </c>
      <c r="AX15" s="96">
        <f t="shared" si="0"/>
        <v>48</v>
      </c>
      <c r="AY15" s="96">
        <f t="shared" si="0"/>
        <v>49</v>
      </c>
      <c r="AZ15" s="96">
        <f t="shared" si="0"/>
        <v>50</v>
      </c>
      <c r="BA15" s="96">
        <f t="shared" si="0"/>
        <v>51</v>
      </c>
      <c r="BB15" s="96">
        <f t="shared" si="0"/>
        <v>52</v>
      </c>
      <c r="BC15" s="96">
        <f t="shared" si="0"/>
        <v>53</v>
      </c>
      <c r="BD15" s="96">
        <f t="shared" si="0"/>
        <v>54</v>
      </c>
      <c r="BE15" s="96">
        <f t="shared" si="0"/>
        <v>55</v>
      </c>
      <c r="BF15" s="96">
        <f t="shared" si="0"/>
        <v>56</v>
      </c>
      <c r="BG15" s="96">
        <f t="shared" si="0"/>
        <v>57</v>
      </c>
      <c r="BH15" s="96">
        <f t="shared" si="0"/>
        <v>58</v>
      </c>
      <c r="BI15" s="96">
        <f t="shared" si="0"/>
        <v>59</v>
      </c>
      <c r="BJ15" s="96">
        <f t="shared" si="0"/>
        <v>60</v>
      </c>
      <c r="BK15" s="96">
        <f t="shared" si="0"/>
        <v>61</v>
      </c>
      <c r="BL15" s="96">
        <f t="shared" si="0"/>
        <v>62</v>
      </c>
      <c r="BM15" s="96">
        <f t="shared" si="0"/>
        <v>63</v>
      </c>
      <c r="BN15" s="96">
        <f t="shared" si="0"/>
        <v>64</v>
      </c>
      <c r="BO15" s="96">
        <f t="shared" si="0"/>
        <v>65</v>
      </c>
      <c r="BP15" s="96">
        <f t="shared" ref="BP15:CS15" si="1">BO15+1</f>
        <v>66</v>
      </c>
      <c r="BQ15" s="96">
        <f t="shared" si="1"/>
        <v>67</v>
      </c>
      <c r="BR15" s="96">
        <f t="shared" si="1"/>
        <v>68</v>
      </c>
      <c r="BS15" s="96">
        <f t="shared" si="1"/>
        <v>69</v>
      </c>
      <c r="BT15" s="96">
        <f t="shared" si="1"/>
        <v>70</v>
      </c>
      <c r="BU15" s="96">
        <f t="shared" si="1"/>
        <v>71</v>
      </c>
      <c r="BV15" s="96">
        <f t="shared" si="1"/>
        <v>72</v>
      </c>
      <c r="BW15" s="96">
        <f t="shared" si="1"/>
        <v>73</v>
      </c>
      <c r="BX15" s="96">
        <f t="shared" si="1"/>
        <v>74</v>
      </c>
      <c r="BY15" s="96">
        <f t="shared" si="1"/>
        <v>75</v>
      </c>
      <c r="BZ15" s="96">
        <f t="shared" si="1"/>
        <v>76</v>
      </c>
      <c r="CA15" s="96">
        <f t="shared" si="1"/>
        <v>77</v>
      </c>
      <c r="CB15" s="96">
        <f t="shared" si="1"/>
        <v>78</v>
      </c>
      <c r="CC15" s="96">
        <f t="shared" si="1"/>
        <v>79</v>
      </c>
      <c r="CD15" s="96">
        <f t="shared" si="1"/>
        <v>80</v>
      </c>
      <c r="CE15" s="96">
        <f t="shared" si="1"/>
        <v>81</v>
      </c>
      <c r="CF15" s="96">
        <f t="shared" si="1"/>
        <v>82</v>
      </c>
      <c r="CG15" s="96">
        <f t="shared" si="1"/>
        <v>83</v>
      </c>
      <c r="CH15" s="96">
        <f t="shared" si="1"/>
        <v>84</v>
      </c>
      <c r="CI15" s="96">
        <f t="shared" si="1"/>
        <v>85</v>
      </c>
      <c r="CJ15" s="96">
        <f t="shared" si="1"/>
        <v>86</v>
      </c>
      <c r="CK15" s="96">
        <f t="shared" si="1"/>
        <v>87</v>
      </c>
      <c r="CL15" s="96">
        <f t="shared" si="1"/>
        <v>88</v>
      </c>
      <c r="CM15" s="96">
        <f t="shared" si="1"/>
        <v>89</v>
      </c>
      <c r="CN15" s="96">
        <f t="shared" si="1"/>
        <v>90</v>
      </c>
      <c r="CO15" s="96">
        <f t="shared" si="1"/>
        <v>91</v>
      </c>
      <c r="CP15" s="96">
        <f t="shared" si="1"/>
        <v>92</v>
      </c>
      <c r="CQ15" s="96">
        <f t="shared" si="1"/>
        <v>93</v>
      </c>
      <c r="CR15" s="96">
        <f t="shared" si="1"/>
        <v>94</v>
      </c>
      <c r="CS15" s="96">
        <f t="shared" si="1"/>
        <v>95</v>
      </c>
      <c r="CT15" s="96"/>
    </row>
    <row r="16" spans="1:99" ht="12.75" customHeight="1" x14ac:dyDescent="0.2">
      <c r="A16" s="94"/>
      <c r="B16" s="98" t="e">
        <f ca="1">OFFSET('Full Data Array'!$AU$4,B15,0,1,1)</f>
        <v>#VALUE!</v>
      </c>
      <c r="C16" s="98" t="e">
        <f ca="1">OFFSET('Full Data Array'!$AU$4,C15,0,1,1)</f>
        <v>#VALUE!</v>
      </c>
      <c r="D16" s="98" t="e">
        <f ca="1">OFFSET('Full Data Array'!$AU$4,D15,0,1,1)</f>
        <v>#VALUE!</v>
      </c>
      <c r="E16" s="98">
        <f ca="1">OFFSET('Full Data Array'!$AU$4,E15,0,1,1)</f>
        <v>0</v>
      </c>
      <c r="F16" s="98">
        <f ca="1">OFFSET('Full Data Array'!$AU$4,F15,0,1,1)</f>
        <v>0</v>
      </c>
      <c r="G16" s="98">
        <f ca="1">OFFSET('Full Data Array'!$AU$4,G15,0,1,1)</f>
        <v>0</v>
      </c>
      <c r="H16" s="98">
        <f ca="1">OFFSET('Full Data Array'!$AU$4,H15,0,1,1)</f>
        <v>0</v>
      </c>
      <c r="I16" s="98">
        <f ca="1">OFFSET('Full Data Array'!$AU$4,I15,0,1,1)</f>
        <v>0</v>
      </c>
      <c r="J16" s="98">
        <f ca="1">OFFSET('Full Data Array'!$AU$4,J15,0,1,1)</f>
        <v>0</v>
      </c>
      <c r="K16" s="98">
        <f ca="1">OFFSET('Full Data Array'!$AU$4,K15,0,1,1)</f>
        <v>0</v>
      </c>
      <c r="L16" s="98">
        <f ca="1">OFFSET('Full Data Array'!$AU$4,L15,0,1,1)</f>
        <v>0</v>
      </c>
      <c r="M16" s="98">
        <f ca="1">OFFSET('Full Data Array'!$AU$4,M15,0,1,1)</f>
        <v>0</v>
      </c>
      <c r="N16" s="98">
        <f ca="1">OFFSET('Full Data Array'!$AU$4,N15,0,1,1)</f>
        <v>0</v>
      </c>
      <c r="O16" s="98">
        <f ca="1">OFFSET('Full Data Array'!$AU$4,O15,0,1,1)</f>
        <v>0</v>
      </c>
      <c r="P16" s="98">
        <f ca="1">OFFSET('Full Data Array'!$AU$4,P15,0,1,1)</f>
        <v>0</v>
      </c>
      <c r="Q16" s="98">
        <f ca="1">OFFSET('Full Data Array'!$AU$4,Q15,0,1,1)</f>
        <v>0</v>
      </c>
      <c r="R16" s="98">
        <f ca="1">OFFSET('Full Data Array'!$AU$4,R15,0,1,1)</f>
        <v>0</v>
      </c>
      <c r="S16" s="98">
        <f ca="1">OFFSET('Full Data Array'!$AU$4,S15,0,1,1)</f>
        <v>0</v>
      </c>
      <c r="T16" s="98">
        <f ca="1">OFFSET('Full Data Array'!$AU$4,T15,0,1,1)</f>
        <v>0</v>
      </c>
      <c r="U16" s="98">
        <f ca="1">OFFSET('Full Data Array'!$AU$4,U15,0,1,1)</f>
        <v>0</v>
      </c>
      <c r="V16" s="98">
        <f ca="1">OFFSET('Full Data Array'!$AU$4,V15,0,1,1)</f>
        <v>0</v>
      </c>
      <c r="W16" s="98">
        <f ca="1">OFFSET('Full Data Array'!$AU$4,W15,0,1,1)</f>
        <v>0</v>
      </c>
      <c r="X16" s="98">
        <f ca="1">OFFSET('Full Data Array'!$AU$4,X15,0,1,1)</f>
        <v>0</v>
      </c>
      <c r="Y16" s="98">
        <f ca="1">OFFSET('Full Data Array'!$AU$4,Y15,0,1,1)</f>
        <v>0</v>
      </c>
      <c r="Z16" s="98">
        <f ca="1">OFFSET('Full Data Array'!$AU$4,Z15,0,1,1)</f>
        <v>0</v>
      </c>
      <c r="AA16" s="98">
        <f ca="1">OFFSET('Full Data Array'!$AU$4,AA15,0,1,1)</f>
        <v>0</v>
      </c>
      <c r="AB16" s="98">
        <f ca="1">OFFSET('Full Data Array'!$AU$4,AB15,0,1,1)</f>
        <v>0</v>
      </c>
      <c r="AC16" s="98">
        <f ca="1">OFFSET('Full Data Array'!$AU$4,AC15,0,1,1)</f>
        <v>0</v>
      </c>
      <c r="AD16" s="98">
        <f ca="1">OFFSET('Full Data Array'!$AU$4,AD15,0,1,1)</f>
        <v>0</v>
      </c>
      <c r="AE16" s="98">
        <f ca="1">OFFSET('Full Data Array'!$AU$4,AE15,0,1,1)</f>
        <v>0</v>
      </c>
      <c r="AF16" s="98">
        <f ca="1">OFFSET('Full Data Array'!$AU$4,AF15,0,1,1)</f>
        <v>0</v>
      </c>
      <c r="AG16" s="98">
        <f ca="1">OFFSET('Full Data Array'!$AU$4,AG15,0,1,1)</f>
        <v>0</v>
      </c>
      <c r="AH16" s="98">
        <f ca="1">OFFSET('Full Data Array'!$AU$4,AH15,0,1,1)</f>
        <v>0</v>
      </c>
      <c r="AI16" s="98">
        <f ca="1">OFFSET('Full Data Array'!$AU$4,AI15,0,1,1)</f>
        <v>0</v>
      </c>
      <c r="AJ16" s="98">
        <f ca="1">OFFSET('Full Data Array'!$AU$4,AJ15,0,1,1)</f>
        <v>0</v>
      </c>
      <c r="AK16" s="98">
        <f ca="1">OFFSET('Full Data Array'!$AU$4,AK15,0,1,1)</f>
        <v>0</v>
      </c>
      <c r="AL16" s="98">
        <f ca="1">OFFSET('Full Data Array'!$AU$4,AL15,0,1,1)</f>
        <v>0</v>
      </c>
      <c r="AM16" s="98">
        <f ca="1">OFFSET('Full Data Array'!$AU$4,AM15,0,1,1)</f>
        <v>0</v>
      </c>
      <c r="AN16" s="98">
        <f ca="1">OFFSET('Full Data Array'!$AU$4,AN15,0,1,1)</f>
        <v>0</v>
      </c>
      <c r="AO16" s="98">
        <f ca="1">OFFSET('Full Data Array'!$AU$4,AO15,0,1,1)</f>
        <v>0</v>
      </c>
      <c r="AP16" s="98">
        <f ca="1">OFFSET('Full Data Array'!$AU$4,AP15,0,1,1)</f>
        <v>0</v>
      </c>
      <c r="AQ16" s="98">
        <f ca="1">OFFSET('Full Data Array'!$AU$4,AQ15,0,1,1)</f>
        <v>0</v>
      </c>
      <c r="AR16" s="98">
        <f ca="1">OFFSET('Full Data Array'!$AU$4,AR15,0,1,1)</f>
        <v>0</v>
      </c>
      <c r="AS16" s="98">
        <f ca="1">OFFSET('Full Data Array'!$AU$4,AS15,0,1,1)</f>
        <v>0</v>
      </c>
      <c r="AT16" s="98">
        <f ca="1">OFFSET('Full Data Array'!$AU$4,AT15,0,1,1)</f>
        <v>0</v>
      </c>
      <c r="AU16" s="98">
        <f ca="1">OFFSET('Full Data Array'!$AU$4,AU15,0,1,1)</f>
        <v>0</v>
      </c>
      <c r="AV16" s="98">
        <f ca="1">OFFSET('Full Data Array'!$AU$4,AV15,0,1,1)</f>
        <v>0</v>
      </c>
      <c r="AW16" s="98">
        <f ca="1">OFFSET('Full Data Array'!$AU$4,AW15,0,1,1)</f>
        <v>0</v>
      </c>
      <c r="AX16" s="98">
        <f ca="1">OFFSET('Full Data Array'!$AU$4,AX15,0,1,1)</f>
        <v>0</v>
      </c>
      <c r="AY16" s="98">
        <f ca="1">OFFSET('Full Data Array'!$AU$4,AY15,0,1,1)</f>
        <v>0</v>
      </c>
      <c r="AZ16" s="98">
        <f ca="1">OFFSET('Full Data Array'!$AU$4,AZ15,0,1,1)</f>
        <v>0</v>
      </c>
      <c r="BA16" s="98">
        <f ca="1">OFFSET('Full Data Array'!$AU$4,BA15,0,1,1)</f>
        <v>0</v>
      </c>
      <c r="BB16" s="98">
        <f ca="1">OFFSET('Full Data Array'!$AU$4,BB15,0,1,1)</f>
        <v>0</v>
      </c>
      <c r="BC16" s="98">
        <f ca="1">OFFSET('Full Data Array'!$AU$4,BC15,0,1,1)</f>
        <v>0</v>
      </c>
      <c r="BD16" s="98">
        <f ca="1">OFFSET('Full Data Array'!$AU$4,BD15,0,1,1)</f>
        <v>0</v>
      </c>
      <c r="BE16" s="98">
        <f ca="1">OFFSET('Full Data Array'!$AU$4,BE15,0,1,1)</f>
        <v>0</v>
      </c>
      <c r="BF16" s="98">
        <f ca="1">OFFSET('Full Data Array'!$AU$4,BF15,0,1,1)</f>
        <v>0</v>
      </c>
      <c r="BG16" s="98">
        <f ca="1">OFFSET('Full Data Array'!$AU$4,BG15,0,1,1)</f>
        <v>0</v>
      </c>
      <c r="BH16" s="98">
        <f ca="1">OFFSET('Full Data Array'!$AU$4,BH15,0,1,1)</f>
        <v>0</v>
      </c>
      <c r="BI16" s="98">
        <f ca="1">OFFSET('Full Data Array'!$AU$4,BI15,0,1,1)</f>
        <v>0</v>
      </c>
      <c r="BJ16" s="98">
        <f ca="1">OFFSET('Full Data Array'!$AU$4,BJ15,0,1,1)</f>
        <v>0</v>
      </c>
      <c r="BK16" s="98">
        <f ca="1">OFFSET('Full Data Array'!$AU$4,BK15,0,1,1)</f>
        <v>0</v>
      </c>
      <c r="BL16" s="98">
        <f ca="1">OFFSET('Full Data Array'!$AU$4,BL15,0,1,1)</f>
        <v>0</v>
      </c>
      <c r="BM16" s="98">
        <f ca="1">OFFSET('Full Data Array'!$AU$4,BM15,0,1,1)</f>
        <v>0</v>
      </c>
      <c r="BN16" s="98">
        <f ca="1">OFFSET('Full Data Array'!$AU$4,BN15,0,1,1)</f>
        <v>0</v>
      </c>
      <c r="BO16" s="98">
        <f ca="1">OFFSET('Full Data Array'!$AU$4,BO15,0,1,1)</f>
        <v>0</v>
      </c>
      <c r="BP16" s="98">
        <f ca="1">OFFSET('Full Data Array'!$AU$4,BP15,0,1,1)</f>
        <v>0</v>
      </c>
      <c r="BQ16" s="98">
        <f ca="1">OFFSET('Full Data Array'!$AU$4,BQ15,0,1,1)</f>
        <v>0</v>
      </c>
      <c r="BR16" s="98">
        <f ca="1">OFFSET('Full Data Array'!$AU$4,BR15,0,1,1)</f>
        <v>0</v>
      </c>
      <c r="BS16" s="98">
        <f ca="1">OFFSET('Full Data Array'!$AU$4,BS15,0,1,1)</f>
        <v>0</v>
      </c>
      <c r="BT16" s="98">
        <f ca="1">OFFSET('Full Data Array'!$AU$4,BT15,0,1,1)</f>
        <v>0</v>
      </c>
      <c r="BU16" s="98">
        <f ca="1">OFFSET('Full Data Array'!$AU$4,BU15,0,1,1)</f>
        <v>0</v>
      </c>
      <c r="BV16" s="98">
        <f ca="1">OFFSET('Full Data Array'!$AU$4,BV15,0,1,1)</f>
        <v>0</v>
      </c>
      <c r="BW16" s="98">
        <f ca="1">OFFSET('Full Data Array'!$AU$4,BW15,0,1,1)</f>
        <v>0</v>
      </c>
      <c r="BX16" s="98">
        <f ca="1">OFFSET('Full Data Array'!$AU$4,BX15,0,1,1)</f>
        <v>0</v>
      </c>
      <c r="BY16" s="98">
        <f ca="1">OFFSET('Full Data Array'!$AU$4,BY15,0,1,1)</f>
        <v>0</v>
      </c>
      <c r="BZ16" s="98">
        <f ca="1">OFFSET('Full Data Array'!$AU$4,BZ15,0,1,1)</f>
        <v>0</v>
      </c>
      <c r="CA16" s="98">
        <f ca="1">OFFSET('Full Data Array'!$AU$4,CA15,0,1,1)</f>
        <v>0</v>
      </c>
      <c r="CB16" s="98">
        <f ca="1">OFFSET('Full Data Array'!$AU$4,CB15,0,1,1)</f>
        <v>0</v>
      </c>
      <c r="CC16" s="98">
        <f ca="1">OFFSET('Full Data Array'!$AU$4,CC15,0,1,1)</f>
        <v>0</v>
      </c>
      <c r="CD16" s="98">
        <f ca="1">OFFSET('Full Data Array'!$AU$4,CD15,0,1,1)</f>
        <v>0</v>
      </c>
      <c r="CE16" s="98">
        <f ca="1">OFFSET('Full Data Array'!$AU$4,CE15,0,1,1)</f>
        <v>0</v>
      </c>
      <c r="CF16" s="98">
        <f ca="1">OFFSET('Full Data Array'!$AU$4,CF15,0,1,1)</f>
        <v>0</v>
      </c>
      <c r="CG16" s="98">
        <f ca="1">OFFSET('Full Data Array'!$AU$4,CG15,0,1,1)</f>
        <v>0</v>
      </c>
      <c r="CH16" s="98">
        <f ca="1">OFFSET('Full Data Array'!$AU$4,CH15,0,1,1)</f>
        <v>0</v>
      </c>
      <c r="CI16" s="98">
        <f ca="1">OFFSET('Full Data Array'!$AU$4,CI15,0,1,1)</f>
        <v>0</v>
      </c>
      <c r="CJ16" s="98">
        <f ca="1">OFFSET('Full Data Array'!$AU$4,CJ15,0,1,1)</f>
        <v>0</v>
      </c>
      <c r="CK16" s="98">
        <f ca="1">OFFSET('Full Data Array'!$AU$4,CK15,0,1,1)</f>
        <v>0</v>
      </c>
      <c r="CL16" s="98">
        <f ca="1">OFFSET('Full Data Array'!$AU$4,CL15,0,1,1)</f>
        <v>0</v>
      </c>
      <c r="CM16" s="98">
        <f ca="1">OFFSET('Full Data Array'!$AU$4,CM15,0,1,1)</f>
        <v>0</v>
      </c>
      <c r="CN16" s="98">
        <f ca="1">OFFSET('Full Data Array'!$AU$4,CN15,0,1,1)</f>
        <v>0</v>
      </c>
      <c r="CO16" s="98">
        <f ca="1">OFFSET('Full Data Array'!$AU$4,CO15,0,1,1)</f>
        <v>0</v>
      </c>
      <c r="CP16" s="98">
        <f ca="1">OFFSET('Full Data Array'!$AU$4,CP15,0,1,1)</f>
        <v>0</v>
      </c>
      <c r="CQ16" s="98">
        <f ca="1">OFFSET('Full Data Array'!$AU$4,CQ15,0,1,1)</f>
        <v>0</v>
      </c>
      <c r="CR16" s="98">
        <f ca="1">OFFSET('Full Data Array'!$AU$4,CR15,0,1,1)</f>
        <v>0</v>
      </c>
      <c r="CS16" s="98">
        <f ca="1">OFFSET('Full Data Array'!$AU$4,CS15,0,1,1)</f>
        <v>0</v>
      </c>
      <c r="CT16" s="97"/>
    </row>
    <row r="17" spans="1:98" x14ac:dyDescent="0.2">
      <c r="A17" s="94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9"/>
    </row>
    <row r="18" spans="1:98" ht="12.75" customHeight="1" x14ac:dyDescent="0.2">
      <c r="A18" s="94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/>
      <c r="CG18" s="95"/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</row>
    <row r="19" spans="1:98" x14ac:dyDescent="0.2">
      <c r="B19"/>
    </row>
    <row r="20" spans="1:98" x14ac:dyDescent="0.2">
      <c r="A20"/>
      <c r="B20" s="31"/>
    </row>
    <row r="21" spans="1:98" x14ac:dyDescent="0.2">
      <c r="A21"/>
      <c r="B21"/>
    </row>
    <row r="22" spans="1:98" x14ac:dyDescent="0.2">
      <c r="A22"/>
      <c r="B22"/>
    </row>
    <row r="23" spans="1:98" x14ac:dyDescent="0.2">
      <c r="A23"/>
      <c r="B23"/>
    </row>
    <row r="24" spans="1:98" x14ac:dyDescent="0.2">
      <c r="A24"/>
      <c r="B24"/>
    </row>
    <row r="25" spans="1:98" x14ac:dyDescent="0.2">
      <c r="A25"/>
      <c r="B25"/>
    </row>
    <row r="26" spans="1:98" x14ac:dyDescent="0.2">
      <c r="A26"/>
      <c r="B26"/>
    </row>
    <row r="27" spans="1:98" x14ac:dyDescent="0.2">
      <c r="A27"/>
      <c r="B27"/>
    </row>
    <row r="28" spans="1:98" x14ac:dyDescent="0.2">
      <c r="A28"/>
      <c r="B28"/>
    </row>
    <row r="29" spans="1:98" x14ac:dyDescent="0.2">
      <c r="A29"/>
      <c r="B29"/>
    </row>
    <row r="30" spans="1:98" x14ac:dyDescent="0.2">
      <c r="A30"/>
      <c r="B30"/>
    </row>
    <row r="31" spans="1:98" x14ac:dyDescent="0.2">
      <c r="A31"/>
      <c r="B31"/>
    </row>
    <row r="32" spans="1:98" x14ac:dyDescent="0.2">
      <c r="A32"/>
      <c r="B32" s="31"/>
    </row>
    <row r="33" spans="1:2" x14ac:dyDescent="0.2">
      <c r="A33"/>
      <c r="B33" s="31"/>
    </row>
    <row r="34" spans="1:2" x14ac:dyDescent="0.2">
      <c r="A34"/>
      <c r="B34"/>
    </row>
    <row r="35" spans="1:2" x14ac:dyDescent="0.2">
      <c r="A35"/>
      <c r="B35"/>
    </row>
    <row r="36" spans="1:2" x14ac:dyDescent="0.2">
      <c r="A36"/>
      <c r="B36"/>
    </row>
    <row r="37" spans="1:2" x14ac:dyDescent="0.2">
      <c r="A37"/>
      <c r="B37"/>
    </row>
    <row r="38" spans="1:2" x14ac:dyDescent="0.2">
      <c r="A38"/>
      <c r="B38"/>
    </row>
    <row r="39" spans="1:2" x14ac:dyDescent="0.2">
      <c r="A39"/>
      <c r="B39"/>
    </row>
    <row r="40" spans="1:2" x14ac:dyDescent="0.2">
      <c r="A40"/>
      <c r="B40"/>
    </row>
    <row r="41" spans="1:2" x14ac:dyDescent="0.2">
      <c r="A41"/>
      <c r="B41"/>
    </row>
    <row r="42" spans="1:2" x14ac:dyDescent="0.2">
      <c r="A42"/>
      <c r="B42"/>
    </row>
    <row r="43" spans="1:2" x14ac:dyDescent="0.2">
      <c r="A43"/>
      <c r="B43"/>
    </row>
    <row r="44" spans="1:2" x14ac:dyDescent="0.2">
      <c r="A44"/>
      <c r="B44"/>
    </row>
    <row r="45" spans="1:2" x14ac:dyDescent="0.2">
      <c r="A45"/>
      <c r="B45"/>
    </row>
    <row r="46" spans="1:2" x14ac:dyDescent="0.2">
      <c r="A46"/>
      <c r="B46" s="31"/>
    </row>
    <row r="47" spans="1:2" x14ac:dyDescent="0.2">
      <c r="A47"/>
      <c r="B47"/>
    </row>
    <row r="48" spans="1:2" x14ac:dyDescent="0.2">
      <c r="A48"/>
      <c r="B48"/>
    </row>
    <row r="49" spans="1:2" x14ac:dyDescent="0.2">
      <c r="A49"/>
      <c r="B49"/>
    </row>
    <row r="50" spans="1:2" x14ac:dyDescent="0.2">
      <c r="A50"/>
      <c r="B50"/>
    </row>
    <row r="51" spans="1:2" x14ac:dyDescent="0.2">
      <c r="A51"/>
      <c r="B51"/>
    </row>
    <row r="52" spans="1:2" x14ac:dyDescent="0.2">
      <c r="A52"/>
      <c r="B52"/>
    </row>
    <row r="53" spans="1:2" x14ac:dyDescent="0.2">
      <c r="A53"/>
      <c r="B53"/>
    </row>
    <row r="54" spans="1:2" x14ac:dyDescent="0.2">
      <c r="A54"/>
      <c r="B54"/>
    </row>
    <row r="59" spans="1:2" x14ac:dyDescent="0.2">
      <c r="B59" s="59"/>
    </row>
    <row r="72" spans="2:2" x14ac:dyDescent="0.2">
      <c r="B72" s="59"/>
    </row>
  </sheetData>
  <conditionalFormatting sqref="CT17 B16:CS16">
    <cfRule type="expression" dxfId="31" priority="11" stopIfTrue="1">
      <formula>"&gt;0"</formula>
    </cfRule>
  </conditionalFormatting>
  <conditionalFormatting sqref="CT18">
    <cfRule type="expression" dxfId="30" priority="6" stopIfTrue="1">
      <formula>CT17="vigorous"</formula>
    </cfRule>
    <cfRule type="expression" dxfId="29" priority="7" stopIfTrue="1">
      <formula>CT17="moderate"</formula>
    </cfRule>
    <cfRule type="expression" dxfId="28" priority="8" stopIfTrue="1">
      <formula>CT17="light"</formula>
    </cfRule>
    <cfRule type="expression" dxfId="27" priority="9" stopIfTrue="1">
      <formula>CT17="sedentary"</formula>
    </cfRule>
    <cfRule type="expression" dxfId="26" priority="10" stopIfTrue="1">
      <formula>CT17="Sleep"</formula>
    </cfRule>
  </conditionalFormatting>
  <conditionalFormatting sqref="B18:CS18">
    <cfRule type="expression" dxfId="25" priority="12" stopIfTrue="1">
      <formula>B16="vigorous"</formula>
    </cfRule>
    <cfRule type="expression" dxfId="24" priority="13" stopIfTrue="1">
      <formula>B16="moderate"</formula>
    </cfRule>
    <cfRule type="expression" dxfId="23" priority="14" stopIfTrue="1">
      <formula>B16="light"</formula>
    </cfRule>
    <cfRule type="expression" dxfId="22" priority="15" stopIfTrue="1">
      <formula>B16="sedentary"</formula>
    </cfRule>
    <cfRule type="expression" dxfId="21" priority="16" stopIfTrue="1">
      <formula>B16="Sleep"</formula>
    </cfRule>
  </conditionalFormatting>
  <conditionalFormatting sqref="B17:CS17">
    <cfRule type="expression" dxfId="20" priority="1" stopIfTrue="1">
      <formula>B16="vigorous"</formula>
    </cfRule>
    <cfRule type="expression" dxfId="19" priority="2" stopIfTrue="1">
      <formula>B16="moderate"</formula>
    </cfRule>
    <cfRule type="expression" dxfId="18" priority="3" stopIfTrue="1">
      <formula>B16="light"</formula>
    </cfRule>
    <cfRule type="expression" dxfId="17" priority="4" stopIfTrue="1">
      <formula>B16="sedentary"</formula>
    </cfRule>
    <cfRule type="expression" dxfId="16" priority="5" stopIfTrue="1">
      <formula>B16="Sleep"</formula>
    </cfRule>
  </conditionalFormatting>
  <printOptions horizontalCentered="1"/>
  <pageMargins left="0" right="0.196850393700787" top="0.196850393700787" bottom="0" header="0" footer="0.196850393700787"/>
  <pageSetup paperSize="9" scale="78" fitToHeight="0" orientation="portrait" r:id="rId1"/>
  <headerFooter scaleWithDoc="0">
    <oddFooter>&amp;L&amp;G   &amp;P   of &amp;N&amp;R RADC Memory and Aging Project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CX76"/>
  <sheetViews>
    <sheetView showGridLines="0" zoomScaleNormal="100" workbookViewId="0">
      <selection activeCell="CW4" sqref="CW4"/>
    </sheetView>
  </sheetViews>
  <sheetFormatPr defaultColWidth="0" defaultRowHeight="12.75" x14ac:dyDescent="0.2"/>
  <cols>
    <col min="1" max="1" width="2.85546875" style="16" customWidth="1"/>
    <col min="2" max="2" width="1" style="17" customWidth="1"/>
    <col min="3" max="97" width="1" customWidth="1"/>
    <col min="98" max="98" width="1.42578125" customWidth="1"/>
    <col min="99" max="99" width="12.5703125" customWidth="1"/>
    <col min="100" max="100" width="8.42578125" customWidth="1"/>
    <col min="101" max="101" width="9.140625" customWidth="1"/>
    <col min="102" max="102" width="3.28515625" customWidth="1"/>
  </cols>
  <sheetData>
    <row r="1" spans="1:102" ht="26.25" customHeight="1" x14ac:dyDescent="0.2">
      <c r="A1" s="92"/>
      <c r="B1" s="93" t="s">
        <v>84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104" t="s">
        <v>87</v>
      </c>
      <c r="CV1" s="104"/>
      <c r="CW1" s="78"/>
      <c r="CX1" s="78"/>
    </row>
    <row r="2" spans="1:102" ht="26.25" customHeight="1" x14ac:dyDescent="0.2">
      <c r="A2" s="92"/>
      <c r="B2" s="8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  <c r="CR2" s="78"/>
      <c r="CS2" s="78"/>
      <c r="CT2" s="78"/>
      <c r="CU2" s="61" t="s">
        <v>85</v>
      </c>
      <c r="CV2" s="61"/>
      <c r="CW2" s="62">
        <f ca="1">240/1440+COUNTIF(B6:AW6,"Sleep")*15/1440</f>
        <v>0.16666666666666666</v>
      </c>
      <c r="CX2" s="78"/>
    </row>
    <row r="3" spans="1:102" x14ac:dyDescent="0.2">
      <c r="A3" s="92"/>
      <c r="B3" s="8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8"/>
      <c r="BZ3" s="78"/>
      <c r="CA3" s="78"/>
      <c r="CB3" s="78"/>
      <c r="CC3" s="78"/>
      <c r="CD3" s="78"/>
      <c r="CE3" s="78"/>
      <c r="CF3" s="78"/>
      <c r="CG3" s="78"/>
      <c r="CH3" s="78"/>
      <c r="CI3" s="78"/>
      <c r="CJ3" s="78"/>
      <c r="CK3" s="78"/>
      <c r="CL3" s="78"/>
      <c r="CM3" s="78"/>
      <c r="CN3" s="78"/>
      <c r="CO3" s="78"/>
      <c r="CP3" s="78"/>
      <c r="CQ3" s="78"/>
      <c r="CR3" s="78"/>
      <c r="CS3" s="78"/>
      <c r="CT3" s="78"/>
      <c r="CU3" s="63" t="s">
        <v>86</v>
      </c>
      <c r="CV3" s="63"/>
      <c r="CW3" s="62">
        <f ca="1">1680/1440-COUNTIF(AX6:CS6,"Sleep")*15/1440</f>
        <v>1.1666666666666667</v>
      </c>
      <c r="CX3" s="78"/>
    </row>
    <row r="4" spans="1:102" x14ac:dyDescent="0.2">
      <c r="A4" s="92"/>
      <c r="B4" s="8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63" t="s">
        <v>75</v>
      </c>
      <c r="CV4" s="63"/>
      <c r="CW4" s="102" t="e">
        <f ca="1">CW6/((1+CW2-CW3)*1440)</f>
        <v>#DIV/0!</v>
      </c>
      <c r="CX4" s="78"/>
    </row>
    <row r="5" spans="1:102" x14ac:dyDescent="0.2">
      <c r="A5" s="92"/>
      <c r="B5" s="78">
        <v>0</v>
      </c>
      <c r="C5" s="78">
        <f>B5+1</f>
        <v>1</v>
      </c>
      <c r="D5" s="78">
        <f t="shared" ref="D5:BO5" si="0">C5+1</f>
        <v>2</v>
      </c>
      <c r="E5" s="78">
        <f t="shared" si="0"/>
        <v>3</v>
      </c>
      <c r="F5" s="78">
        <f t="shared" si="0"/>
        <v>4</v>
      </c>
      <c r="G5" s="78">
        <f t="shared" si="0"/>
        <v>5</v>
      </c>
      <c r="H5" s="78">
        <f t="shared" si="0"/>
        <v>6</v>
      </c>
      <c r="I5" s="78">
        <f t="shared" si="0"/>
        <v>7</v>
      </c>
      <c r="J5" s="78">
        <f t="shared" si="0"/>
        <v>8</v>
      </c>
      <c r="K5" s="78">
        <f t="shared" si="0"/>
        <v>9</v>
      </c>
      <c r="L5" s="78">
        <f t="shared" si="0"/>
        <v>10</v>
      </c>
      <c r="M5" s="78">
        <f t="shared" si="0"/>
        <v>11</v>
      </c>
      <c r="N5" s="78">
        <f t="shared" si="0"/>
        <v>12</v>
      </c>
      <c r="O5" s="78">
        <f t="shared" si="0"/>
        <v>13</v>
      </c>
      <c r="P5" s="78">
        <f t="shared" si="0"/>
        <v>14</v>
      </c>
      <c r="Q5" s="78">
        <f t="shared" si="0"/>
        <v>15</v>
      </c>
      <c r="R5" s="78">
        <f t="shared" si="0"/>
        <v>16</v>
      </c>
      <c r="S5" s="78">
        <f t="shared" si="0"/>
        <v>17</v>
      </c>
      <c r="T5" s="78">
        <f t="shared" si="0"/>
        <v>18</v>
      </c>
      <c r="U5" s="78">
        <f t="shared" si="0"/>
        <v>19</v>
      </c>
      <c r="V5" s="78">
        <f t="shared" si="0"/>
        <v>20</v>
      </c>
      <c r="W5" s="78">
        <f t="shared" si="0"/>
        <v>21</v>
      </c>
      <c r="X5" s="78">
        <f t="shared" si="0"/>
        <v>22</v>
      </c>
      <c r="Y5" s="78">
        <f t="shared" si="0"/>
        <v>23</v>
      </c>
      <c r="Z5" s="78">
        <f t="shared" si="0"/>
        <v>24</v>
      </c>
      <c r="AA5" s="78">
        <f t="shared" si="0"/>
        <v>25</v>
      </c>
      <c r="AB5" s="78">
        <f t="shared" si="0"/>
        <v>26</v>
      </c>
      <c r="AC5" s="78">
        <f t="shared" si="0"/>
        <v>27</v>
      </c>
      <c r="AD5" s="78">
        <f t="shared" si="0"/>
        <v>28</v>
      </c>
      <c r="AE5" s="78">
        <f t="shared" si="0"/>
        <v>29</v>
      </c>
      <c r="AF5" s="78">
        <f t="shared" si="0"/>
        <v>30</v>
      </c>
      <c r="AG5" s="78">
        <f t="shared" si="0"/>
        <v>31</v>
      </c>
      <c r="AH5" s="78">
        <f t="shared" si="0"/>
        <v>32</v>
      </c>
      <c r="AI5" s="78">
        <f t="shared" si="0"/>
        <v>33</v>
      </c>
      <c r="AJ5" s="78">
        <f t="shared" si="0"/>
        <v>34</v>
      </c>
      <c r="AK5" s="78">
        <f t="shared" si="0"/>
        <v>35</v>
      </c>
      <c r="AL5" s="78">
        <f t="shared" si="0"/>
        <v>36</v>
      </c>
      <c r="AM5" s="78">
        <f t="shared" si="0"/>
        <v>37</v>
      </c>
      <c r="AN5" s="78">
        <f t="shared" si="0"/>
        <v>38</v>
      </c>
      <c r="AO5" s="78">
        <f t="shared" si="0"/>
        <v>39</v>
      </c>
      <c r="AP5" s="78">
        <f t="shared" si="0"/>
        <v>40</v>
      </c>
      <c r="AQ5" s="78">
        <f t="shared" si="0"/>
        <v>41</v>
      </c>
      <c r="AR5" s="78">
        <f t="shared" si="0"/>
        <v>42</v>
      </c>
      <c r="AS5" s="78">
        <f t="shared" si="0"/>
        <v>43</v>
      </c>
      <c r="AT5" s="78">
        <f t="shared" si="0"/>
        <v>44</v>
      </c>
      <c r="AU5" s="78">
        <f t="shared" si="0"/>
        <v>45</v>
      </c>
      <c r="AV5" s="78">
        <f t="shared" si="0"/>
        <v>46</v>
      </c>
      <c r="AW5" s="78">
        <f t="shared" si="0"/>
        <v>47</v>
      </c>
      <c r="AX5" s="78">
        <f t="shared" si="0"/>
        <v>48</v>
      </c>
      <c r="AY5" s="78">
        <f t="shared" si="0"/>
        <v>49</v>
      </c>
      <c r="AZ5" s="78">
        <f t="shared" si="0"/>
        <v>50</v>
      </c>
      <c r="BA5" s="78">
        <f t="shared" si="0"/>
        <v>51</v>
      </c>
      <c r="BB5" s="78">
        <f t="shared" si="0"/>
        <v>52</v>
      </c>
      <c r="BC5" s="78">
        <f t="shared" si="0"/>
        <v>53</v>
      </c>
      <c r="BD5" s="78">
        <f t="shared" si="0"/>
        <v>54</v>
      </c>
      <c r="BE5" s="78">
        <f t="shared" si="0"/>
        <v>55</v>
      </c>
      <c r="BF5" s="78">
        <f t="shared" si="0"/>
        <v>56</v>
      </c>
      <c r="BG5" s="78">
        <f t="shared" si="0"/>
        <v>57</v>
      </c>
      <c r="BH5" s="78">
        <f t="shared" si="0"/>
        <v>58</v>
      </c>
      <c r="BI5" s="78">
        <f t="shared" si="0"/>
        <v>59</v>
      </c>
      <c r="BJ5" s="78">
        <f t="shared" si="0"/>
        <v>60</v>
      </c>
      <c r="BK5" s="78">
        <f t="shared" si="0"/>
        <v>61</v>
      </c>
      <c r="BL5" s="78">
        <f t="shared" si="0"/>
        <v>62</v>
      </c>
      <c r="BM5" s="78">
        <f t="shared" si="0"/>
        <v>63</v>
      </c>
      <c r="BN5" s="78">
        <f t="shared" si="0"/>
        <v>64</v>
      </c>
      <c r="BO5" s="78">
        <f t="shared" si="0"/>
        <v>65</v>
      </c>
      <c r="BP5" s="78">
        <f t="shared" ref="BP5:CS5" si="1">BO5+1</f>
        <v>66</v>
      </c>
      <c r="BQ5" s="78">
        <f t="shared" si="1"/>
        <v>67</v>
      </c>
      <c r="BR5" s="78">
        <f t="shared" si="1"/>
        <v>68</v>
      </c>
      <c r="BS5" s="78">
        <f t="shared" si="1"/>
        <v>69</v>
      </c>
      <c r="BT5" s="78">
        <f t="shared" si="1"/>
        <v>70</v>
      </c>
      <c r="BU5" s="78">
        <f t="shared" si="1"/>
        <v>71</v>
      </c>
      <c r="BV5" s="78">
        <f t="shared" si="1"/>
        <v>72</v>
      </c>
      <c r="BW5" s="78">
        <f t="shared" si="1"/>
        <v>73</v>
      </c>
      <c r="BX5" s="78">
        <f t="shared" si="1"/>
        <v>74</v>
      </c>
      <c r="BY5" s="78">
        <f t="shared" si="1"/>
        <v>75</v>
      </c>
      <c r="BZ5" s="78">
        <f t="shared" si="1"/>
        <v>76</v>
      </c>
      <c r="CA5" s="78">
        <f t="shared" si="1"/>
        <v>77</v>
      </c>
      <c r="CB5" s="78">
        <f t="shared" si="1"/>
        <v>78</v>
      </c>
      <c r="CC5" s="78">
        <f t="shared" si="1"/>
        <v>79</v>
      </c>
      <c r="CD5" s="78">
        <f t="shared" si="1"/>
        <v>80</v>
      </c>
      <c r="CE5" s="78">
        <f t="shared" si="1"/>
        <v>81</v>
      </c>
      <c r="CF5" s="78">
        <f t="shared" si="1"/>
        <v>82</v>
      </c>
      <c r="CG5" s="78">
        <f t="shared" si="1"/>
        <v>83</v>
      </c>
      <c r="CH5" s="78">
        <f t="shared" si="1"/>
        <v>84</v>
      </c>
      <c r="CI5" s="78">
        <f t="shared" si="1"/>
        <v>85</v>
      </c>
      <c r="CJ5" s="78">
        <f t="shared" si="1"/>
        <v>86</v>
      </c>
      <c r="CK5" s="78">
        <f t="shared" si="1"/>
        <v>87</v>
      </c>
      <c r="CL5" s="78">
        <f t="shared" si="1"/>
        <v>88</v>
      </c>
      <c r="CM5" s="78">
        <f t="shared" si="1"/>
        <v>89</v>
      </c>
      <c r="CN5" s="78">
        <f t="shared" si="1"/>
        <v>90</v>
      </c>
      <c r="CO5" s="78">
        <f t="shared" si="1"/>
        <v>91</v>
      </c>
      <c r="CP5" s="78">
        <f t="shared" si="1"/>
        <v>92</v>
      </c>
      <c r="CQ5" s="78">
        <f t="shared" si="1"/>
        <v>93</v>
      </c>
      <c r="CR5" s="78">
        <f t="shared" si="1"/>
        <v>94</v>
      </c>
      <c r="CS5" s="78">
        <f t="shared" si="1"/>
        <v>95</v>
      </c>
      <c r="CT5" s="78"/>
      <c r="CU5" s="63" t="s">
        <v>76</v>
      </c>
      <c r="CV5" s="63"/>
      <c r="CW5" s="84">
        <v>0</v>
      </c>
      <c r="CX5" s="78"/>
    </row>
    <row r="6" spans="1:102" ht="12.75" customHeight="1" x14ac:dyDescent="0.2">
      <c r="A6" s="92"/>
      <c r="B6" s="90" t="e">
        <f ca="1">OFFSET('Full Data Array'!$BB$1445,B5,0,1,1)</f>
        <v>#NUM!</v>
      </c>
      <c r="C6" s="90" t="e">
        <f ca="1">OFFSET('Full Data Array'!$BB$1445,C5,0,1,1)</f>
        <v>#NUM!</v>
      </c>
      <c r="D6" s="90" t="e">
        <f ca="1">OFFSET('Full Data Array'!$BB$1445,D5,0,1,1)</f>
        <v>#NUM!</v>
      </c>
      <c r="E6" s="90" t="e">
        <f ca="1">OFFSET('Full Data Array'!$BB$1445,E5,0,1,1)</f>
        <v>#NUM!</v>
      </c>
      <c r="F6" s="90" t="e">
        <f ca="1">OFFSET('Full Data Array'!$BB$1445,F5,0,1,1)</f>
        <v>#NUM!</v>
      </c>
      <c r="G6" s="90" t="e">
        <f ca="1">OFFSET('Full Data Array'!$BB$1445,G5,0,1,1)</f>
        <v>#NUM!</v>
      </c>
      <c r="H6" s="90" t="e">
        <f ca="1">OFFSET('Full Data Array'!$BB$1445,H5,0,1,1)</f>
        <v>#NUM!</v>
      </c>
      <c r="I6" s="90" t="e">
        <f ca="1">OFFSET('Full Data Array'!$BB$1445,I5,0,1,1)</f>
        <v>#NUM!</v>
      </c>
      <c r="J6" s="90" t="e">
        <f ca="1">OFFSET('Full Data Array'!$BB$1445,J5,0,1,1)</f>
        <v>#NUM!</v>
      </c>
      <c r="K6" s="90" t="e">
        <f ca="1">OFFSET('Full Data Array'!$BB$1445,K5,0,1,1)</f>
        <v>#NUM!</v>
      </c>
      <c r="L6" s="90" t="e">
        <f ca="1">OFFSET('Full Data Array'!$BB$1445,L5,0,1,1)</f>
        <v>#NUM!</v>
      </c>
      <c r="M6" s="90" t="e">
        <f ca="1">OFFSET('Full Data Array'!$BB$1445,M5,0,1,1)</f>
        <v>#NUM!</v>
      </c>
      <c r="N6" s="90" t="e">
        <f ca="1">OFFSET('Full Data Array'!$BB$1445,N5,0,1,1)</f>
        <v>#NUM!</v>
      </c>
      <c r="O6" s="90" t="e">
        <f ca="1">OFFSET('Full Data Array'!$BB$1445,O5,0,1,1)</f>
        <v>#NUM!</v>
      </c>
      <c r="P6" s="90" t="e">
        <f ca="1">OFFSET('Full Data Array'!$BB$1445,P5,0,1,1)</f>
        <v>#NUM!</v>
      </c>
      <c r="Q6" s="90" t="e">
        <f ca="1">OFFSET('Full Data Array'!$BB$1445,Q5,0,1,1)</f>
        <v>#NUM!</v>
      </c>
      <c r="R6" s="90" t="e">
        <f ca="1">OFFSET('Full Data Array'!$BB$1445,R5,0,1,1)</f>
        <v>#NUM!</v>
      </c>
      <c r="S6" s="90" t="e">
        <f ca="1">OFFSET('Full Data Array'!$BB$1445,S5,0,1,1)</f>
        <v>#NUM!</v>
      </c>
      <c r="T6" s="90" t="e">
        <f ca="1">OFFSET('Full Data Array'!$BB$1445,T5,0,1,1)</f>
        <v>#NUM!</v>
      </c>
      <c r="U6" s="90" t="e">
        <f ca="1">OFFSET('Full Data Array'!$BB$1445,U5,0,1,1)</f>
        <v>#NUM!</v>
      </c>
      <c r="V6" s="90" t="e">
        <f ca="1">OFFSET('Full Data Array'!$BB$1445,V5,0,1,1)</f>
        <v>#NUM!</v>
      </c>
      <c r="W6" s="90" t="e">
        <f ca="1">OFFSET('Full Data Array'!$BB$1445,W5,0,1,1)</f>
        <v>#NUM!</v>
      </c>
      <c r="X6" s="90" t="e">
        <f ca="1">OFFSET('Full Data Array'!$BB$1445,X5,0,1,1)</f>
        <v>#NUM!</v>
      </c>
      <c r="Y6" s="90" t="e">
        <f ca="1">OFFSET('Full Data Array'!$BB$1445,Y5,0,1,1)</f>
        <v>#NUM!</v>
      </c>
      <c r="Z6" s="90" t="e">
        <f ca="1">OFFSET('Full Data Array'!$BB$1445,Z5,0,1,1)</f>
        <v>#NUM!</v>
      </c>
      <c r="AA6" s="90" t="e">
        <f ca="1">OFFSET('Full Data Array'!$BB$1445,AA5,0,1,1)</f>
        <v>#NUM!</v>
      </c>
      <c r="AB6" s="90" t="e">
        <f ca="1">OFFSET('Full Data Array'!$BB$1445,AB5,0,1,1)</f>
        <v>#NUM!</v>
      </c>
      <c r="AC6" s="90" t="e">
        <f ca="1">OFFSET('Full Data Array'!$BB$1445,AC5,0,1,1)</f>
        <v>#NUM!</v>
      </c>
      <c r="AD6" s="90" t="e">
        <f ca="1">OFFSET('Full Data Array'!$BB$1445,AD5,0,1,1)</f>
        <v>#NUM!</v>
      </c>
      <c r="AE6" s="90" t="e">
        <f ca="1">OFFSET('Full Data Array'!$BB$1445,AE5,0,1,1)</f>
        <v>#NUM!</v>
      </c>
      <c r="AF6" s="90" t="e">
        <f ca="1">OFFSET('Full Data Array'!$BB$1445,AF5,0,1,1)</f>
        <v>#NUM!</v>
      </c>
      <c r="AG6" s="90" t="e">
        <f ca="1">OFFSET('Full Data Array'!$BB$1445,AG5,0,1,1)</f>
        <v>#NUM!</v>
      </c>
      <c r="AH6" s="90" t="e">
        <f ca="1">OFFSET('Full Data Array'!$BB$1445,AH5,0,1,1)</f>
        <v>#NUM!</v>
      </c>
      <c r="AI6" s="90" t="e">
        <f ca="1">OFFSET('Full Data Array'!$BB$1445,AI5,0,1,1)</f>
        <v>#NUM!</v>
      </c>
      <c r="AJ6" s="90" t="e">
        <f ca="1">OFFSET('Full Data Array'!$BB$1445,AJ5,0,1,1)</f>
        <v>#NUM!</v>
      </c>
      <c r="AK6" s="90" t="e">
        <f ca="1">OFFSET('Full Data Array'!$BB$1445,AK5,0,1,1)</f>
        <v>#NUM!</v>
      </c>
      <c r="AL6" s="90" t="e">
        <f ca="1">OFFSET('Full Data Array'!$BB$1445,AL5,0,1,1)</f>
        <v>#NUM!</v>
      </c>
      <c r="AM6" s="90" t="e">
        <f ca="1">OFFSET('Full Data Array'!$BB$1445,AM5,0,1,1)</f>
        <v>#NUM!</v>
      </c>
      <c r="AN6" s="90" t="e">
        <f ca="1">OFFSET('Full Data Array'!$BB$1445,AN5,0,1,1)</f>
        <v>#NUM!</v>
      </c>
      <c r="AO6" s="90" t="e">
        <f ca="1">OFFSET('Full Data Array'!$BB$1445,AO5,0,1,1)</f>
        <v>#NUM!</v>
      </c>
      <c r="AP6" s="90" t="e">
        <f ca="1">OFFSET('Full Data Array'!$BB$1445,AP5,0,1,1)</f>
        <v>#NUM!</v>
      </c>
      <c r="AQ6" s="90" t="e">
        <f ca="1">OFFSET('Full Data Array'!$BB$1445,AQ5,0,1,1)</f>
        <v>#NUM!</v>
      </c>
      <c r="AR6" s="90" t="e">
        <f ca="1">OFFSET('Full Data Array'!$BB$1445,AR5,0,1,1)</f>
        <v>#NUM!</v>
      </c>
      <c r="AS6" s="90" t="e">
        <f ca="1">OFFSET('Full Data Array'!$BB$1445,AS5,0,1,1)</f>
        <v>#NUM!</v>
      </c>
      <c r="AT6" s="90" t="e">
        <f ca="1">OFFSET('Full Data Array'!$BB$1445,AT5,0,1,1)</f>
        <v>#NUM!</v>
      </c>
      <c r="AU6" s="90" t="e">
        <f ca="1">OFFSET('Full Data Array'!$BB$1445,AU5,0,1,1)</f>
        <v>#NUM!</v>
      </c>
      <c r="AV6" s="90" t="e">
        <f ca="1">OFFSET('Full Data Array'!$BB$1445,AV5,0,1,1)</f>
        <v>#NUM!</v>
      </c>
      <c r="AW6" s="90" t="e">
        <f ca="1">OFFSET('Full Data Array'!$BB$1445,AW5,0,1,1)</f>
        <v>#NUM!</v>
      </c>
      <c r="AX6" s="90" t="e">
        <f ca="1">OFFSET('Full Data Array'!$BB$1445,AX5,0,1,1)</f>
        <v>#NUM!</v>
      </c>
      <c r="AY6" s="90" t="e">
        <f ca="1">OFFSET('Full Data Array'!$BB$1445,AY5,0,1,1)</f>
        <v>#NUM!</v>
      </c>
      <c r="AZ6" s="90" t="e">
        <f ca="1">OFFSET('Full Data Array'!$BB$1445,AZ5,0,1,1)</f>
        <v>#NUM!</v>
      </c>
      <c r="BA6" s="90" t="e">
        <f ca="1">OFFSET('Full Data Array'!$BB$1445,BA5,0,1,1)</f>
        <v>#NUM!</v>
      </c>
      <c r="BB6" s="90" t="e">
        <f ca="1">OFFSET('Full Data Array'!$BB$1445,BB5,0,1,1)</f>
        <v>#NUM!</v>
      </c>
      <c r="BC6" s="90" t="e">
        <f ca="1">OFFSET('Full Data Array'!$BB$1445,BC5,0,1,1)</f>
        <v>#NUM!</v>
      </c>
      <c r="BD6" s="90" t="e">
        <f ca="1">OFFSET('Full Data Array'!$BB$1445,BD5,0,1,1)</f>
        <v>#NUM!</v>
      </c>
      <c r="BE6" s="90" t="e">
        <f ca="1">OFFSET('Full Data Array'!$BB$1445,BE5,0,1,1)</f>
        <v>#NUM!</v>
      </c>
      <c r="BF6" s="90" t="e">
        <f ca="1">OFFSET('Full Data Array'!$BB$1445,BF5,0,1,1)</f>
        <v>#NUM!</v>
      </c>
      <c r="BG6" s="90" t="e">
        <f ca="1">OFFSET('Full Data Array'!$BB$1445,BG5,0,1,1)</f>
        <v>#NUM!</v>
      </c>
      <c r="BH6" s="90" t="e">
        <f ca="1">OFFSET('Full Data Array'!$BB$1445,BH5,0,1,1)</f>
        <v>#NUM!</v>
      </c>
      <c r="BI6" s="90" t="e">
        <f ca="1">OFFSET('Full Data Array'!$BB$1445,BI5,0,1,1)</f>
        <v>#NUM!</v>
      </c>
      <c r="BJ6" s="90" t="e">
        <f ca="1">OFFSET('Full Data Array'!$BB$1445,BJ5,0,1,1)</f>
        <v>#NUM!</v>
      </c>
      <c r="BK6" s="90" t="e">
        <f ca="1">OFFSET('Full Data Array'!$BB$1445,BK5,0,1,1)</f>
        <v>#NUM!</v>
      </c>
      <c r="BL6" s="90" t="e">
        <f ca="1">OFFSET('Full Data Array'!$BB$1445,BL5,0,1,1)</f>
        <v>#NUM!</v>
      </c>
      <c r="BM6" s="90" t="e">
        <f ca="1">OFFSET('Full Data Array'!$BB$1445,BM5,0,1,1)</f>
        <v>#NUM!</v>
      </c>
      <c r="BN6" s="90" t="e">
        <f ca="1">OFFSET('Full Data Array'!$BB$1445,BN5,0,1,1)</f>
        <v>#NUM!</v>
      </c>
      <c r="BO6" s="90" t="e">
        <f ca="1">OFFSET('Full Data Array'!$BB$1445,BO5,0,1,1)</f>
        <v>#NUM!</v>
      </c>
      <c r="BP6" s="90" t="e">
        <f ca="1">OFFSET('Full Data Array'!$BB$1445,BP5,0,1,1)</f>
        <v>#NUM!</v>
      </c>
      <c r="BQ6" s="90" t="e">
        <f ca="1">OFFSET('Full Data Array'!$BB$1445,BQ5,0,1,1)</f>
        <v>#NUM!</v>
      </c>
      <c r="BR6" s="90" t="e">
        <f ca="1">OFFSET('Full Data Array'!$BB$1445,BR5,0,1,1)</f>
        <v>#NUM!</v>
      </c>
      <c r="BS6" s="90" t="e">
        <f ca="1">OFFSET('Full Data Array'!$BB$1445,BS5,0,1,1)</f>
        <v>#NUM!</v>
      </c>
      <c r="BT6" s="90" t="e">
        <f ca="1">OFFSET('Full Data Array'!$BB$1445,BT5,0,1,1)</f>
        <v>#NUM!</v>
      </c>
      <c r="BU6" s="90" t="e">
        <f ca="1">OFFSET('Full Data Array'!$BB$1445,BU5,0,1,1)</f>
        <v>#NUM!</v>
      </c>
      <c r="BV6" s="90" t="e">
        <f ca="1">OFFSET('Full Data Array'!$BB$1445,BV5,0,1,1)</f>
        <v>#NUM!</v>
      </c>
      <c r="BW6" s="90" t="e">
        <f ca="1">OFFSET('Full Data Array'!$BB$1445,BW5,0,1,1)</f>
        <v>#NUM!</v>
      </c>
      <c r="BX6" s="90" t="e">
        <f ca="1">OFFSET('Full Data Array'!$BB$1445,BX5,0,1,1)</f>
        <v>#NUM!</v>
      </c>
      <c r="BY6" s="90" t="e">
        <f ca="1">OFFSET('Full Data Array'!$BB$1445,BY5,0,1,1)</f>
        <v>#NUM!</v>
      </c>
      <c r="BZ6" s="90" t="e">
        <f ca="1">OFFSET('Full Data Array'!$BB$1445,BZ5,0,1,1)</f>
        <v>#NUM!</v>
      </c>
      <c r="CA6" s="90" t="e">
        <f ca="1">OFFSET('Full Data Array'!$BB$1445,CA5,0,1,1)</f>
        <v>#NUM!</v>
      </c>
      <c r="CB6" s="90" t="e">
        <f ca="1">OFFSET('Full Data Array'!$BB$1445,CB5,0,1,1)</f>
        <v>#NUM!</v>
      </c>
      <c r="CC6" s="90" t="e">
        <f ca="1">OFFSET('Full Data Array'!$BB$1445,CC5,0,1,1)</f>
        <v>#NUM!</v>
      </c>
      <c r="CD6" s="90" t="e">
        <f ca="1">OFFSET('Full Data Array'!$BB$1445,CD5,0,1,1)</f>
        <v>#NUM!</v>
      </c>
      <c r="CE6" s="90" t="e">
        <f ca="1">OFFSET('Full Data Array'!$BB$1445,CE5,0,1,1)</f>
        <v>#NUM!</v>
      </c>
      <c r="CF6" s="90" t="e">
        <f ca="1">OFFSET('Full Data Array'!$BB$1445,CF5,0,1,1)</f>
        <v>#NUM!</v>
      </c>
      <c r="CG6" s="90" t="e">
        <f ca="1">OFFSET('Full Data Array'!$BB$1445,CG5,0,1,1)</f>
        <v>#NUM!</v>
      </c>
      <c r="CH6" s="90" t="e">
        <f ca="1">OFFSET('Full Data Array'!$BB$1445,CH5,0,1,1)</f>
        <v>#NUM!</v>
      </c>
      <c r="CI6" s="90" t="e">
        <f ca="1">OFFSET('Full Data Array'!$BB$1445,CI5,0,1,1)</f>
        <v>#NUM!</v>
      </c>
      <c r="CJ6" s="90" t="e">
        <f ca="1">OFFSET('Full Data Array'!$BB$1445,CJ5,0,1,1)</f>
        <v>#NUM!</v>
      </c>
      <c r="CK6" s="90" t="e">
        <f ca="1">OFFSET('Full Data Array'!$BB$1445,CK5,0,1,1)</f>
        <v>#NUM!</v>
      </c>
      <c r="CL6" s="90" t="e">
        <f ca="1">OFFSET('Full Data Array'!$BB$1445,CL5,0,1,1)</f>
        <v>#NUM!</v>
      </c>
      <c r="CM6" s="90" t="e">
        <f ca="1">OFFSET('Full Data Array'!$BB$1445,CM5,0,1,1)</f>
        <v>#NUM!</v>
      </c>
      <c r="CN6" s="90" t="e">
        <f ca="1">OFFSET('Full Data Array'!$BB$1445,CN5,0,1,1)</f>
        <v>#NUM!</v>
      </c>
      <c r="CO6" s="90" t="e">
        <f ca="1">OFFSET('Full Data Array'!$BB$1445,CO5,0,1,1)</f>
        <v>#NUM!</v>
      </c>
      <c r="CP6" s="90" t="e">
        <f ca="1">OFFSET('Full Data Array'!$BB$1445,CP5,0,1,1)</f>
        <v>#NUM!</v>
      </c>
      <c r="CQ6" s="90" t="e">
        <f ca="1">OFFSET('Full Data Array'!$BB$1445,CQ5,0,1,1)</f>
        <v>#NUM!</v>
      </c>
      <c r="CR6" s="90" t="e">
        <f ca="1">OFFSET('Full Data Array'!$BB$1445,CR5,0,1,1)</f>
        <v>#NUM!</v>
      </c>
      <c r="CS6" s="90" t="e">
        <f ca="1">OFFSET('Full Data Array'!$BB$1445,CS5,0,1,1)</f>
        <v>#NUM!</v>
      </c>
      <c r="CT6" s="89"/>
      <c r="CU6" s="63" t="s">
        <v>77</v>
      </c>
      <c r="CV6" s="63"/>
      <c r="CW6" s="83">
        <v>0</v>
      </c>
      <c r="CX6" s="78"/>
    </row>
    <row r="7" spans="1:102" x14ac:dyDescent="0.2">
      <c r="A7" s="92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  <c r="CD7" s="88"/>
      <c r="CE7" s="88"/>
      <c r="CF7" s="88"/>
      <c r="CG7" s="88"/>
      <c r="CH7" s="88"/>
      <c r="CI7" s="88"/>
      <c r="CJ7" s="88"/>
      <c r="CK7" s="88"/>
      <c r="CL7" s="88"/>
      <c r="CM7" s="88"/>
      <c r="CN7" s="88"/>
      <c r="CO7" s="88"/>
      <c r="CP7" s="88"/>
      <c r="CQ7" s="88"/>
      <c r="CR7" s="88"/>
      <c r="CS7" s="88"/>
      <c r="CT7" s="91"/>
      <c r="CU7" s="63" t="s">
        <v>78</v>
      </c>
      <c r="CV7" s="63"/>
      <c r="CW7" s="83">
        <v>0</v>
      </c>
      <c r="CX7" s="78"/>
    </row>
    <row r="8" spans="1:102" ht="12.75" customHeight="1" x14ac:dyDescent="0.2">
      <c r="A8" s="92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  <c r="CD8" s="88"/>
      <c r="CE8" s="88"/>
      <c r="CF8" s="88"/>
      <c r="CG8" s="88"/>
      <c r="CH8" s="88"/>
      <c r="CI8" s="88"/>
      <c r="CJ8" s="88"/>
      <c r="CK8" s="88"/>
      <c r="CL8" s="88"/>
      <c r="CM8" s="88"/>
      <c r="CN8" s="88"/>
      <c r="CO8" s="88"/>
      <c r="CP8" s="88"/>
      <c r="CQ8" s="88"/>
      <c r="CR8" s="88"/>
      <c r="CS8" s="88"/>
      <c r="CT8" s="88"/>
      <c r="CU8" s="77" t="s">
        <v>79</v>
      </c>
      <c r="CV8" s="77"/>
      <c r="CW8" s="85">
        <v>0</v>
      </c>
      <c r="CX8" s="78"/>
    </row>
    <row r="9" spans="1:102" x14ac:dyDescent="0.2">
      <c r="B9"/>
      <c r="CW9" s="19"/>
    </row>
    <row r="10" spans="1:102" x14ac:dyDescent="0.2">
      <c r="A10"/>
      <c r="B10" s="31"/>
    </row>
    <row r="11" spans="1:102" x14ac:dyDescent="0.2">
      <c r="A11"/>
      <c r="B11"/>
    </row>
    <row r="12" spans="1:102" x14ac:dyDescent="0.2">
      <c r="A12"/>
      <c r="B12"/>
    </row>
    <row r="13" spans="1:102" x14ac:dyDescent="0.2">
      <c r="A13"/>
      <c r="B13"/>
    </row>
    <row r="14" spans="1:102" x14ac:dyDescent="0.2">
      <c r="A14"/>
      <c r="B14"/>
    </row>
    <row r="15" spans="1:102" x14ac:dyDescent="0.2">
      <c r="A15"/>
      <c r="B15"/>
    </row>
    <row r="16" spans="1:102" x14ac:dyDescent="0.2">
      <c r="A16"/>
      <c r="B16"/>
    </row>
    <row r="17" spans="1:2" x14ac:dyDescent="0.2">
      <c r="A17"/>
      <c r="B17"/>
    </row>
    <row r="18" spans="1:2" x14ac:dyDescent="0.2">
      <c r="A18"/>
      <c r="B18"/>
    </row>
    <row r="19" spans="1:2" x14ac:dyDescent="0.2">
      <c r="A19"/>
      <c r="B19"/>
    </row>
    <row r="20" spans="1:2" x14ac:dyDescent="0.2">
      <c r="A20"/>
      <c r="B20"/>
    </row>
    <row r="21" spans="1:2" x14ac:dyDescent="0.2">
      <c r="A21"/>
      <c r="B21"/>
    </row>
    <row r="22" spans="1:2" x14ac:dyDescent="0.2">
      <c r="A22"/>
      <c r="B22" s="31"/>
    </row>
    <row r="23" spans="1:2" x14ac:dyDescent="0.2">
      <c r="A23"/>
      <c r="B23" s="31"/>
    </row>
    <row r="24" spans="1:2" x14ac:dyDescent="0.2">
      <c r="A24"/>
      <c r="B24"/>
    </row>
    <row r="25" spans="1:2" x14ac:dyDescent="0.2">
      <c r="A25"/>
      <c r="B25"/>
    </row>
    <row r="26" spans="1:2" x14ac:dyDescent="0.2">
      <c r="A26"/>
      <c r="B26"/>
    </row>
    <row r="27" spans="1:2" x14ac:dyDescent="0.2">
      <c r="A27"/>
      <c r="B27"/>
    </row>
    <row r="28" spans="1:2" x14ac:dyDescent="0.2">
      <c r="A28"/>
      <c r="B28"/>
    </row>
    <row r="29" spans="1:2" x14ac:dyDescent="0.2">
      <c r="A29"/>
      <c r="B29"/>
    </row>
    <row r="30" spans="1:2" x14ac:dyDescent="0.2">
      <c r="A30"/>
      <c r="B30"/>
    </row>
    <row r="31" spans="1:2" x14ac:dyDescent="0.2">
      <c r="A31"/>
      <c r="B31"/>
    </row>
    <row r="32" spans="1:2" x14ac:dyDescent="0.2">
      <c r="A32"/>
      <c r="B32"/>
    </row>
    <row r="33" spans="1:2" x14ac:dyDescent="0.2">
      <c r="A33"/>
      <c r="B33"/>
    </row>
    <row r="34" spans="1:2" x14ac:dyDescent="0.2">
      <c r="A34"/>
      <c r="B34"/>
    </row>
    <row r="35" spans="1:2" x14ac:dyDescent="0.2">
      <c r="A35"/>
      <c r="B35"/>
    </row>
    <row r="36" spans="1:2" x14ac:dyDescent="0.2">
      <c r="A36"/>
      <c r="B36" s="31"/>
    </row>
    <row r="37" spans="1:2" x14ac:dyDescent="0.2">
      <c r="A37"/>
      <c r="B37"/>
    </row>
    <row r="38" spans="1:2" x14ac:dyDescent="0.2">
      <c r="A38"/>
      <c r="B38"/>
    </row>
    <row r="39" spans="1:2" x14ac:dyDescent="0.2">
      <c r="A39"/>
      <c r="B39"/>
    </row>
    <row r="40" spans="1:2" x14ac:dyDescent="0.2">
      <c r="A40"/>
      <c r="B40"/>
    </row>
    <row r="41" spans="1:2" x14ac:dyDescent="0.2">
      <c r="A41"/>
      <c r="B41"/>
    </row>
    <row r="42" spans="1:2" x14ac:dyDescent="0.2">
      <c r="A42"/>
      <c r="B42"/>
    </row>
    <row r="43" spans="1:2" x14ac:dyDescent="0.2">
      <c r="A43"/>
      <c r="B43"/>
    </row>
    <row r="44" spans="1:2" x14ac:dyDescent="0.2">
      <c r="A44"/>
      <c r="B44"/>
    </row>
    <row r="49" spans="2:101" x14ac:dyDescent="0.2">
      <c r="B49" s="59"/>
    </row>
    <row r="58" spans="2:101" x14ac:dyDescent="0.2">
      <c r="CU58" s="29"/>
      <c r="CV58" s="29"/>
      <c r="CW58" s="38"/>
    </row>
    <row r="59" spans="2:101" x14ac:dyDescent="0.2">
      <c r="CW59" s="19"/>
    </row>
    <row r="60" spans="2:101" x14ac:dyDescent="0.2">
      <c r="CV60" s="37"/>
      <c r="CW60" s="19"/>
    </row>
    <row r="61" spans="2:101" x14ac:dyDescent="0.2">
      <c r="CW61" s="19"/>
    </row>
    <row r="62" spans="2:101" x14ac:dyDescent="0.2">
      <c r="B62" s="59"/>
      <c r="CW62" s="19"/>
    </row>
    <row r="63" spans="2:101" x14ac:dyDescent="0.2">
      <c r="CU63" s="29"/>
      <c r="CV63" s="29"/>
      <c r="CW63" s="34"/>
    </row>
    <row r="64" spans="2:101" x14ac:dyDescent="0.2">
      <c r="CU64" s="29"/>
      <c r="CV64" s="29"/>
      <c r="CW64" s="34"/>
    </row>
    <row r="65" spans="99:101" x14ac:dyDescent="0.2">
      <c r="CU65" s="29"/>
      <c r="CV65" s="29"/>
      <c r="CW65" s="34"/>
    </row>
    <row r="66" spans="99:101" x14ac:dyDescent="0.2">
      <c r="CU66" s="29"/>
      <c r="CV66" s="29"/>
      <c r="CW66" s="36"/>
    </row>
    <row r="67" spans="99:101" x14ac:dyDescent="0.2">
      <c r="CU67" s="29"/>
      <c r="CV67" s="29"/>
      <c r="CW67" s="36"/>
    </row>
    <row r="68" spans="99:101" x14ac:dyDescent="0.2">
      <c r="CU68" s="29"/>
      <c r="CV68" s="29"/>
      <c r="CW68" s="35"/>
    </row>
    <row r="69" spans="99:101" x14ac:dyDescent="0.2">
      <c r="CU69" s="29"/>
      <c r="CV69" s="29"/>
      <c r="CW69" s="38"/>
    </row>
    <row r="70" spans="99:101" x14ac:dyDescent="0.2">
      <c r="CU70" s="29"/>
      <c r="CV70" s="29"/>
      <c r="CW70" s="4"/>
    </row>
    <row r="71" spans="99:101" x14ac:dyDescent="0.2">
      <c r="CU71" s="29"/>
      <c r="CV71" s="29"/>
      <c r="CW71" s="38"/>
    </row>
    <row r="72" spans="99:101" x14ac:dyDescent="0.2">
      <c r="CW72" s="19"/>
    </row>
    <row r="73" spans="99:101" x14ac:dyDescent="0.2">
      <c r="CV73" s="37"/>
      <c r="CW73" s="19"/>
    </row>
    <row r="74" spans="99:101" x14ac:dyDescent="0.2">
      <c r="CW74" s="19"/>
    </row>
    <row r="75" spans="99:101" x14ac:dyDescent="0.2">
      <c r="CW75" s="19"/>
    </row>
    <row r="76" spans="99:101" x14ac:dyDescent="0.2">
      <c r="CU76" s="29"/>
      <c r="CV76" s="29"/>
      <c r="CW76" s="34"/>
    </row>
  </sheetData>
  <mergeCells count="1">
    <mergeCell ref="CU1:CV1"/>
  </mergeCells>
  <conditionalFormatting sqref="CT7 B6:CS6">
    <cfRule type="expression" dxfId="15" priority="11" stopIfTrue="1">
      <formula>"&gt;0"</formula>
    </cfRule>
  </conditionalFormatting>
  <conditionalFormatting sqref="CT8">
    <cfRule type="expression" dxfId="14" priority="6" stopIfTrue="1">
      <formula>CT7="vigorous"</formula>
    </cfRule>
    <cfRule type="expression" dxfId="13" priority="7" stopIfTrue="1">
      <formula>CT7="moderate"</formula>
    </cfRule>
    <cfRule type="expression" dxfId="12" priority="8" stopIfTrue="1">
      <formula>CT7="light"</formula>
    </cfRule>
    <cfRule type="expression" dxfId="11" priority="9" stopIfTrue="1">
      <formula>CT7="sedentary"</formula>
    </cfRule>
    <cfRule type="expression" dxfId="10" priority="10" stopIfTrue="1">
      <formula>CT7="Sleep"</formula>
    </cfRule>
  </conditionalFormatting>
  <conditionalFormatting sqref="B8:CS8">
    <cfRule type="expression" dxfId="9" priority="19" stopIfTrue="1">
      <formula>B6="vigorous"</formula>
    </cfRule>
    <cfRule type="expression" dxfId="8" priority="20" stopIfTrue="1">
      <formula>B6="moderate"</formula>
    </cfRule>
    <cfRule type="expression" dxfId="7" priority="21" stopIfTrue="1">
      <formula>B6="light"</formula>
    </cfRule>
    <cfRule type="expression" dxfId="6" priority="22" stopIfTrue="1">
      <formula>B6="sedentary"</formula>
    </cfRule>
    <cfRule type="expression" dxfId="5" priority="23" stopIfTrue="1">
      <formula>B6="Sleep"</formula>
    </cfRule>
  </conditionalFormatting>
  <conditionalFormatting sqref="B7:CS7">
    <cfRule type="expression" dxfId="4" priority="1" stopIfTrue="1">
      <formula>B6="vigorous"</formula>
    </cfRule>
    <cfRule type="expression" dxfId="3" priority="2" stopIfTrue="1">
      <formula>B6="moderate"</formula>
    </cfRule>
    <cfRule type="expression" dxfId="2" priority="3" stopIfTrue="1">
      <formula>B6="light"</formula>
    </cfRule>
    <cfRule type="expression" dxfId="1" priority="4" stopIfTrue="1">
      <formula>B6="sedentary"</formula>
    </cfRule>
    <cfRule type="expression" dxfId="0" priority="5" stopIfTrue="1">
      <formula>B6="Sleep"</formula>
    </cfRule>
  </conditionalFormatting>
  <printOptions horizontalCentered="1"/>
  <pageMargins left="0" right="0.19685039370078741" top="0.19685039370078741" bottom="0" header="0" footer="0.19685039370078741"/>
  <pageSetup paperSize="9" fitToHeight="0" orientation="portrait" r:id="rId1"/>
  <headerFooter scaleWithDoc="0">
    <oddFooter>&amp;L&amp;"Verdana,Bold"&amp;9&amp;G      &amp;P  of 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</vt:i4>
      </vt:variant>
    </vt:vector>
  </HeadingPairs>
  <TitlesOfParts>
    <vt:vector size="30" baseType="lpstr">
      <vt:lpstr>Input csv</vt:lpstr>
      <vt:lpstr>Full Data Array</vt:lpstr>
      <vt:lpstr>Front Page</vt:lpstr>
      <vt:lpstr>User Inputs</vt:lpstr>
      <vt:lpstr>Activity Charts</vt:lpstr>
      <vt:lpstr>Original</vt:lpstr>
      <vt:lpstr>ave chart</vt:lpstr>
      <vt:lpstr>'Full Data Array'!act1values</vt:lpstr>
      <vt:lpstr>bed</vt:lpstr>
      <vt:lpstr>CalcOffset</vt:lpstr>
      <vt:lpstr>d</vt:lpstr>
      <vt:lpstr>days</vt:lpstr>
      <vt:lpstr>Four_am</vt:lpstr>
      <vt:lpstr>four_am_row</vt:lpstr>
      <vt:lpstr>frequency</vt:lpstr>
      <vt:lpstr>light_to_mod_cut_off</vt:lpstr>
      <vt:lpstr>'Full Data Array'!light1values</vt:lpstr>
      <vt:lpstr>max_temp</vt:lpstr>
      <vt:lpstr>midnight_row</vt:lpstr>
      <vt:lpstr>mod_to_vig_cut_off</vt:lpstr>
      <vt:lpstr>no_wear_cut_off</vt:lpstr>
      <vt:lpstr>noon_row</vt:lpstr>
      <vt:lpstr>'Full Data Array'!Print_Area</vt:lpstr>
      <vt:lpstr>'Activity Charts'!Print_Titles</vt:lpstr>
      <vt:lpstr>Original!Print_Titles</vt:lpstr>
      <vt:lpstr>Res</vt:lpstr>
      <vt:lpstr>rows</vt:lpstr>
      <vt:lpstr>sed_to_light_cut_off</vt:lpstr>
      <vt:lpstr>ss</vt:lpstr>
      <vt:lpstr>'Full Data Array'!xvalues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KinectProcessing</dc:creator>
  <cp:lastModifiedBy>KinectProcessing</cp:lastModifiedBy>
  <cp:lastPrinted>2012-04-24T21:13:34Z</cp:lastPrinted>
  <dcterms:created xsi:type="dcterms:W3CDTF">2011-04-07T11:58:57Z</dcterms:created>
  <dcterms:modified xsi:type="dcterms:W3CDTF">2018-09-12T22:01:20Z</dcterms:modified>
</cp:coreProperties>
</file>